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حصر العمالة" sheetId="1" state="visible" r:id="rId3"/>
    <sheet name="تقدير الاحتياجات" sheetId="2" state="visible" r:id="rId4"/>
    <sheet name="تقييم الأدا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<sst xmlns="http://schemas.openxmlformats.org/spreadsheetml/2006/main" count="165" uniqueCount="86">
  <si>
    <t xml:space="preserve">م</t>
  </si>
  <si>
    <t xml:space="preserve">القسم</t>
  </si>
  <si>
    <t xml:space="preserve">الاسم</t>
  </si>
  <si>
    <t xml:space="preserve">المسمى الوظيفي</t>
  </si>
  <si>
    <t xml:space="preserve">مستوى المهارة</t>
  </si>
  <si>
    <t xml:space="preserve">تاريخ التعيين</t>
  </si>
  <si>
    <t xml:space="preserve">سنوات الخبرة</t>
  </si>
  <si>
    <t xml:space="preserve">الماكينات المتخصص بها</t>
  </si>
  <si>
    <t xml:space="preserve">معدل الإنتاجية</t>
  </si>
  <si>
    <t xml:space="preserve">التقييم العام</t>
  </si>
  <si>
    <t xml:space="preserve">ملاحظات</t>
  </si>
  <si>
    <t xml:space="preserve">1</t>
  </si>
  <si>
    <r>
      <rPr>
        <sz val="11"/>
        <color theme="1"/>
        <rFont val="FreeSans"/>
        <family val="2"/>
      </rPr>
      <t xml:space="preserve">التقطيع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منشار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</si>
  <si>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1</t>
    </r>
  </si>
  <si>
    <t xml:space="preserve">فني</t>
  </si>
  <si>
    <t xml:space="preserve">قوي</t>
  </si>
  <si>
    <t xml:space="preserve">منشار كمبيوتر</t>
  </si>
  <si>
    <t xml:space="preserve">جيد</t>
  </si>
  <si>
    <t xml:space="preserve">2</t>
  </si>
  <si>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2</t>
    </r>
  </si>
  <si>
    <t xml:space="preserve">3</t>
  </si>
  <si>
    <r>
      <rPr>
        <sz val="11"/>
        <color theme="1"/>
        <rFont val="FreeSans"/>
        <family val="2"/>
      </rPr>
      <t xml:space="preserve">مساعد </t>
    </r>
    <r>
      <rPr>
        <sz val="11"/>
        <color theme="1"/>
        <rFont val="Calibri"/>
        <family val="2"/>
        <charset val="1"/>
      </rPr>
      <t xml:space="preserve">1</t>
    </r>
  </si>
  <si>
    <t xml:space="preserve">مساعد</t>
  </si>
  <si>
    <t xml:space="preserve">متوسط</t>
  </si>
  <si>
    <t xml:space="preserve">4</t>
  </si>
  <si>
    <t xml:space="preserve">لصق الشريط</t>
  </si>
  <si>
    <t xml:space="preserve">فني مشرف</t>
  </si>
  <si>
    <t xml:space="preserve">ممتاز</t>
  </si>
  <si>
    <t xml:space="preserve">ماكينات لصق الحواف</t>
  </si>
  <si>
    <t xml:space="preserve">5</t>
  </si>
  <si>
    <t xml:space="preserve">6</t>
  </si>
  <si>
    <t xml:space="preserve">7</t>
  </si>
  <si>
    <t xml:space="preserve">8</t>
  </si>
  <si>
    <r>
      <rPr>
        <sz val="11"/>
        <color theme="1"/>
        <rFont val="Calibri"/>
        <family val="2"/>
        <charset val="1"/>
      </rPr>
      <t xml:space="preserve">CNC - </t>
    </r>
    <r>
      <rPr>
        <sz val="11"/>
        <color theme="1"/>
        <rFont val="FreeSans"/>
        <family val="2"/>
      </rPr>
      <t xml:space="preserve">التخريم</t>
    </r>
  </si>
  <si>
    <t xml:space="preserve">V-200, Router</t>
  </si>
  <si>
    <t xml:space="preserve">مستوى قوي</t>
  </si>
  <si>
    <t xml:space="preserve">9</t>
  </si>
  <si>
    <t xml:space="preserve">10</t>
  </si>
  <si>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3</t>
    </r>
  </si>
  <si>
    <t xml:space="preserve">V-200</t>
  </si>
  <si>
    <t xml:space="preserve">مستوى متوسط أو أقل</t>
  </si>
  <si>
    <t xml:space="preserve">11</t>
  </si>
  <si>
    <t xml:space="preserve">مساعد خبير</t>
  </si>
  <si>
    <t xml:space="preserve">جيد جداً</t>
  </si>
  <si>
    <t xml:space="preserve">ذو خبرة ومسؤولية كبيرة</t>
  </si>
  <si>
    <r>
      <rPr>
        <b val="true"/>
        <sz val="12"/>
        <rFont val="FreeSans"/>
        <family val="2"/>
      </rPr>
      <t xml:space="preserve">الملخص الإجمالي</t>
    </r>
    <r>
      <rPr>
        <b val="true"/>
        <sz val="12"/>
        <rFont val="Cambria"/>
        <family val="0"/>
        <charset val="1"/>
      </rPr>
      <t xml:space="preserve">:</t>
    </r>
  </si>
  <si>
    <r>
      <rPr>
        <b val="true"/>
        <sz val="11"/>
        <rFont val="FreeSans"/>
        <family val="2"/>
      </rPr>
      <t xml:space="preserve">إجمالي الفنيين</t>
    </r>
    <r>
      <rPr>
        <b val="true"/>
        <sz val="11"/>
        <rFont val="Cambria"/>
        <family val="0"/>
        <charset val="1"/>
      </rPr>
      <t xml:space="preserve">:</t>
    </r>
  </si>
  <si>
    <r>
      <rPr>
        <b val="true"/>
        <sz val="11"/>
        <rFont val="FreeSans"/>
        <family val="2"/>
      </rPr>
      <t xml:space="preserve">إجمالي المساعدين</t>
    </r>
    <r>
      <rPr>
        <b val="true"/>
        <sz val="11"/>
        <rFont val="Cambria"/>
        <family val="0"/>
        <charset val="1"/>
      </rPr>
      <t xml:space="preserve">:</t>
    </r>
  </si>
  <si>
    <r>
      <rPr>
        <b val="true"/>
        <sz val="11"/>
        <rFont val="FreeSans"/>
        <family val="2"/>
      </rPr>
      <t xml:space="preserve">إجمالي العمالة</t>
    </r>
    <r>
      <rPr>
        <b val="true"/>
        <sz val="11"/>
        <rFont val="Cambria"/>
        <family val="0"/>
        <charset val="1"/>
      </rPr>
      <t xml:space="preserve">:</t>
    </r>
  </si>
  <si>
    <t xml:space="preserve">القسم/الماكينة</t>
  </si>
  <si>
    <t xml:space="preserve">عدد الماكينات</t>
  </si>
  <si>
    <t xml:space="preserve">العمالة الحالية</t>
  </si>
  <si>
    <t xml:space="preserve">الفنيين المطلوبين</t>
  </si>
  <si>
    <t xml:space="preserve">المساعدين المطلوبين</t>
  </si>
  <si>
    <t xml:space="preserve">إجمالي المطلوب</t>
  </si>
  <si>
    <t xml:space="preserve">الفجوة (نقص/زيادة)</t>
  </si>
  <si>
    <t xml:space="preserve">الأولوية</t>
  </si>
  <si>
    <t xml:space="preserve">منشار التقطيع</t>
  </si>
  <si>
    <r>
      <rPr>
        <sz val="11"/>
        <color theme="1"/>
        <rFont val="Calibri"/>
        <family val="2"/>
        <charset val="1"/>
      </rPr>
      <t xml:space="preserve">3 (2 </t>
    </r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+ 1 </t>
    </r>
    <r>
      <rPr>
        <sz val="11"/>
        <color theme="1"/>
        <rFont val="FreeSans"/>
        <family val="2"/>
      </rPr>
      <t xml:space="preserve">مساعد</t>
    </r>
    <r>
      <rPr>
        <sz val="11"/>
        <color theme="1"/>
        <rFont val="Calibri"/>
        <family val="2"/>
        <charset val="1"/>
      </rPr>
      <t xml:space="preserve">)</t>
    </r>
  </si>
  <si>
    <t xml:space="preserve">عالية</t>
  </si>
  <si>
    <t xml:space="preserve">المفترض فني ومساعد لكل ماكينة</t>
  </si>
  <si>
    <r>
      <rPr>
        <sz val="11"/>
        <color theme="1"/>
        <rFont val="Calibri"/>
        <family val="2"/>
        <charset val="1"/>
      </rPr>
      <t xml:space="preserve">4 (3 </t>
    </r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+ 1 </t>
    </r>
    <r>
      <rPr>
        <sz val="11"/>
        <color theme="1"/>
        <rFont val="FreeSans"/>
        <family val="2"/>
      </rPr>
      <t xml:space="preserve">مساعد</t>
    </r>
    <r>
      <rPr>
        <sz val="11"/>
        <color theme="1"/>
        <rFont val="Calibri"/>
        <family val="2"/>
        <charset val="1"/>
      </rPr>
      <t xml:space="preserve">)</t>
    </r>
  </si>
  <si>
    <t xml:space="preserve">0</t>
  </si>
  <si>
    <t xml:space="preserve">مستقر</t>
  </si>
  <si>
    <t xml:space="preserve">العدد مناسب حالياً</t>
  </si>
  <si>
    <r>
      <rPr>
        <sz val="11"/>
        <color theme="1"/>
        <rFont val="FreeSans"/>
        <family val="2"/>
      </rPr>
      <t xml:space="preserve">التخريم </t>
    </r>
    <r>
      <rPr>
        <sz val="11"/>
        <color theme="1"/>
        <rFont val="Calibri"/>
        <family val="2"/>
        <charset val="1"/>
      </rPr>
      <t xml:space="preserve">CNC V-200</t>
    </r>
  </si>
  <si>
    <r>
      <rPr>
        <sz val="11"/>
        <color theme="1"/>
        <rFont val="FreeSans"/>
        <family val="2"/>
      </rPr>
      <t xml:space="preserve">نحتاج فني إضافي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مساعد</t>
    </r>
  </si>
  <si>
    <r>
      <rPr>
        <sz val="11"/>
        <color theme="1"/>
        <rFont val="FreeSans"/>
        <family val="2"/>
      </rPr>
      <t xml:space="preserve">الراوتر </t>
    </r>
    <r>
      <rPr>
        <sz val="11"/>
        <color theme="1"/>
        <rFont val="Calibri"/>
        <family val="2"/>
        <charset val="1"/>
      </rPr>
      <t xml:space="preserve">Router</t>
    </r>
  </si>
  <si>
    <r>
      <rPr>
        <sz val="11"/>
        <color theme="1"/>
        <rFont val="FreeSans"/>
        <family val="2"/>
      </rPr>
      <t xml:space="preserve">نفس فريق </t>
    </r>
    <r>
      <rPr>
        <sz val="11"/>
        <color theme="1"/>
        <rFont val="Calibri"/>
        <family val="2"/>
        <charset val="1"/>
      </rPr>
      <t xml:space="preserve">CNC</t>
    </r>
  </si>
  <si>
    <t xml:space="preserve">مشترك</t>
  </si>
  <si>
    <t xml:space="preserve">متوسطة</t>
  </si>
  <si>
    <r>
      <rPr>
        <sz val="11"/>
        <color theme="1"/>
        <rFont val="FreeSans"/>
        <family val="2"/>
      </rPr>
      <t xml:space="preserve">يتشارك مع قسم </t>
    </r>
    <r>
      <rPr>
        <sz val="11"/>
        <color theme="1"/>
        <rFont val="Calibri"/>
        <family val="2"/>
        <charset val="1"/>
      </rPr>
      <t xml:space="preserve">CNC</t>
    </r>
  </si>
  <si>
    <r>
      <rPr>
        <sz val="11"/>
        <color theme="1"/>
        <rFont val="FreeSans"/>
        <family val="2"/>
      </rPr>
      <t xml:space="preserve">راوتر </t>
    </r>
    <r>
      <rPr>
        <sz val="11"/>
        <color theme="1"/>
        <rFont val="Calibri"/>
        <family val="2"/>
        <charset val="1"/>
      </rPr>
      <t xml:space="preserve">5 Axis</t>
    </r>
  </si>
  <si>
    <t xml:space="preserve">للأعمال الخاصة</t>
  </si>
  <si>
    <r>
      <rPr>
        <b val="true"/>
        <sz val="12"/>
        <rFont val="FreeSans"/>
        <family val="2"/>
      </rPr>
      <t xml:space="preserve">إجمالي الاحتياجات</t>
    </r>
    <r>
      <rPr>
        <b val="true"/>
        <sz val="12"/>
        <rFont val="Cambria"/>
        <family val="0"/>
        <charset val="1"/>
      </rPr>
      <t xml:space="preserve">:</t>
    </r>
  </si>
  <si>
    <r>
      <rPr>
        <sz val="11"/>
        <color theme="1"/>
        <rFont val="FreeSans"/>
        <family val="2"/>
      </rPr>
      <t xml:space="preserve">إجمالي الفنيين المطلوبين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</si>
  <si>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FreeSans"/>
        <family val="2"/>
      </rPr>
      <t xml:space="preserve">إجمالي المساعدين المطلوبين</t>
    </r>
    <r>
      <rPr>
        <sz val="11"/>
        <color theme="1"/>
        <rFont val="Calibri"/>
        <family val="2"/>
        <charset val="1"/>
      </rPr>
      <t xml:space="preserve">:</t>
    </r>
  </si>
  <si>
    <t xml:space="preserve">التاريخ</t>
  </si>
  <si>
    <t xml:space="preserve">الحضور والانضباط</t>
  </si>
  <si>
    <t xml:space="preserve">جودة العمل</t>
  </si>
  <si>
    <t xml:space="preserve">سرعة الإنجاز</t>
  </si>
  <si>
    <t xml:space="preserve">الالتزام بالتعليمات</t>
  </si>
  <si>
    <t xml:space="preserve">العمل الجماعي</t>
  </si>
  <si>
    <t xml:space="preserve">المتوسط العام</t>
  </si>
  <si>
    <t xml:space="preserve">التقييم</t>
  </si>
  <si>
    <r>
      <rPr>
        <i val="true"/>
        <sz val="11"/>
        <color rgb="FFFF0000"/>
        <rFont val="FreeSans"/>
        <family val="2"/>
      </rPr>
      <t xml:space="preserve">ملحوظة</t>
    </r>
    <r>
      <rPr>
        <i val="true"/>
        <sz val="11"/>
        <color rgb="FFFF0000"/>
        <rFont val="Cambria"/>
        <family val="0"/>
        <charset val="1"/>
      </rPr>
      <t xml:space="preserve">: </t>
    </r>
    <r>
      <rPr>
        <i val="true"/>
        <sz val="11"/>
        <color rgb="FFFF0000"/>
        <rFont val="FreeSans"/>
        <family val="2"/>
      </rPr>
      <t xml:space="preserve">التقييم من </t>
    </r>
    <r>
      <rPr>
        <i val="true"/>
        <sz val="11"/>
        <color rgb="FFFF0000"/>
        <rFont val="Cambria"/>
        <family val="0"/>
        <charset val="1"/>
      </rPr>
      <t xml:space="preserve">1 </t>
    </r>
    <r>
      <rPr>
        <i val="true"/>
        <sz val="11"/>
        <color rgb="FFFF0000"/>
        <rFont val="FreeSans"/>
        <family val="2"/>
      </rPr>
      <t xml:space="preserve">إلى </t>
    </r>
    <r>
      <rPr>
        <i val="true"/>
        <sz val="11"/>
        <color rgb="FFFF0000"/>
        <rFont val="Cambria"/>
        <family val="0"/>
        <charset val="1"/>
      </rPr>
      <t xml:space="preserve">5 (1=</t>
    </r>
    <r>
      <rPr>
        <i val="true"/>
        <sz val="11"/>
        <color rgb="FFFF0000"/>
        <rFont val="FreeSans"/>
        <family val="2"/>
      </rPr>
      <t xml:space="preserve">ضعيف، </t>
    </r>
    <r>
      <rPr>
        <i val="true"/>
        <sz val="11"/>
        <color rgb="FFFF0000"/>
        <rFont val="Cambria"/>
        <family val="0"/>
        <charset val="1"/>
      </rPr>
      <t xml:space="preserve">5=</t>
    </r>
    <r>
      <rPr>
        <i val="true"/>
        <sz val="11"/>
        <color rgb="FFFF0000"/>
        <rFont val="FreeSans"/>
        <family val="2"/>
      </rPr>
      <t xml:space="preserve">ممتاز</t>
    </r>
    <r>
      <rPr>
        <i val="true"/>
        <sz val="11"/>
        <color rgb="FFFF0000"/>
        <rFont val="Cambria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</si>
</sst>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FreeSans"/>
      <family val="2"/>
    </font>
    <font>
      <b val="true"/>
      <sz val="12"/>
      <name val="FreeSans"/>
      <family val="2"/>
    </font>
    <font>
      <b val="true"/>
      <sz val="12"/>
      <name val="Cambria"/>
      <family val="0"/>
      <charset val="1"/>
    </font>
    <font>
      <b val="true"/>
      <sz val="11"/>
      <name val="FreeSans"/>
      <family val="2"/>
    </font>
    <font>
      <b val="true"/>
      <sz val="11"/>
      <name val="Cambria"/>
      <family val="0"/>
      <charset val="1"/>
    </font>
    <font>
      <i val="true"/>
      <sz val="11"/>
      <color rgb="FFFF0000"/>
      <name val="FreeSans"/>
      <family val="2"/>
    </font>
    <font>
      <i val="true"/>
      <sz val="11"/>
      <color rgb="FFFF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25"/>
    <col collapsed="false" customWidth="true" hidden="false" outlineLevel="0" max="10" min="9" style="0" width="12"/>
    <col collapsed="false" customWidth="true" hidden="false" outlineLevel="0" max="11" min="11" style="0" width="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2"/>
      <c r="G2" s="2"/>
      <c r="H2" s="3" t="s">
        <v>16</v>
      </c>
      <c r="I2" s="2"/>
      <c r="J2" s="3" t="s">
        <v>17</v>
      </c>
      <c r="K2" s="2"/>
    </row>
    <row r="3" customFormat="false" ht="15" hidden="false" customHeight="false" outlineLevel="0" collapsed="false">
      <c r="A3" s="2" t="s">
        <v>18</v>
      </c>
      <c r="B3" s="3" t="s">
        <v>12</v>
      </c>
      <c r="C3" s="3" t="s">
        <v>19</v>
      </c>
      <c r="D3" s="3" t="s">
        <v>14</v>
      </c>
      <c r="E3" s="3" t="s">
        <v>15</v>
      </c>
      <c r="F3" s="2"/>
      <c r="G3" s="2"/>
      <c r="H3" s="3" t="s">
        <v>16</v>
      </c>
      <c r="I3" s="2"/>
      <c r="J3" s="3" t="s">
        <v>17</v>
      </c>
      <c r="K3" s="2"/>
    </row>
    <row r="4" customFormat="false" ht="15" hidden="false" customHeight="false" outlineLevel="0" collapsed="false">
      <c r="A4" s="2" t="s">
        <v>20</v>
      </c>
      <c r="B4" s="3" t="s">
        <v>12</v>
      </c>
      <c r="C4" s="3" t="s">
        <v>21</v>
      </c>
      <c r="D4" s="3" t="s">
        <v>22</v>
      </c>
      <c r="E4" s="3" t="s">
        <v>23</v>
      </c>
      <c r="F4" s="2"/>
      <c r="G4" s="2"/>
      <c r="H4" s="3" t="s">
        <v>16</v>
      </c>
      <c r="I4" s="2"/>
      <c r="J4" s="3" t="s">
        <v>23</v>
      </c>
      <c r="K4" s="2"/>
    </row>
    <row r="5" customFormat="false" ht="15" hidden="false" customHeight="false" outlineLevel="0" collapsed="false">
      <c r="A5" s="2" t="s">
        <v>24</v>
      </c>
      <c r="B5" s="3" t="s">
        <v>25</v>
      </c>
      <c r="C5" s="3" t="s">
        <v>26</v>
      </c>
      <c r="D5" s="3" t="s">
        <v>26</v>
      </c>
      <c r="E5" s="3" t="s">
        <v>27</v>
      </c>
      <c r="F5" s="2"/>
      <c r="G5" s="2"/>
      <c r="H5" s="3" t="s">
        <v>28</v>
      </c>
      <c r="I5" s="2"/>
      <c r="J5" s="3" t="s">
        <v>27</v>
      </c>
      <c r="K5" s="2"/>
    </row>
    <row r="6" customFormat="false" ht="15" hidden="false" customHeight="false" outlineLevel="0" collapsed="false">
      <c r="A6" s="2" t="s">
        <v>29</v>
      </c>
      <c r="B6" s="3" t="s">
        <v>25</v>
      </c>
      <c r="C6" s="3" t="s">
        <v>13</v>
      </c>
      <c r="D6" s="3" t="s">
        <v>14</v>
      </c>
      <c r="E6" s="3" t="s">
        <v>15</v>
      </c>
      <c r="F6" s="2"/>
      <c r="G6" s="2"/>
      <c r="H6" s="3" t="s">
        <v>28</v>
      </c>
      <c r="I6" s="2"/>
      <c r="J6" s="3" t="s">
        <v>17</v>
      </c>
      <c r="K6" s="2"/>
    </row>
    <row r="7" customFormat="false" ht="15" hidden="false" customHeight="false" outlineLevel="0" collapsed="false">
      <c r="A7" s="2" t="s">
        <v>30</v>
      </c>
      <c r="B7" s="3" t="s">
        <v>25</v>
      </c>
      <c r="C7" s="3" t="s">
        <v>19</v>
      </c>
      <c r="D7" s="3" t="s">
        <v>14</v>
      </c>
      <c r="E7" s="3" t="s">
        <v>15</v>
      </c>
      <c r="F7" s="2"/>
      <c r="G7" s="2"/>
      <c r="H7" s="3" t="s">
        <v>28</v>
      </c>
      <c r="I7" s="2"/>
      <c r="J7" s="3" t="s">
        <v>17</v>
      </c>
      <c r="K7" s="2"/>
    </row>
    <row r="8" customFormat="false" ht="15" hidden="false" customHeight="false" outlineLevel="0" collapsed="false">
      <c r="A8" s="2" t="s">
        <v>31</v>
      </c>
      <c r="B8" s="3" t="s">
        <v>25</v>
      </c>
      <c r="C8" s="3" t="s">
        <v>21</v>
      </c>
      <c r="D8" s="3" t="s">
        <v>22</v>
      </c>
      <c r="E8" s="3" t="s">
        <v>23</v>
      </c>
      <c r="F8" s="2"/>
      <c r="G8" s="2"/>
      <c r="H8" s="3" t="s">
        <v>28</v>
      </c>
      <c r="I8" s="2"/>
      <c r="J8" s="3" t="s">
        <v>23</v>
      </c>
      <c r="K8" s="2"/>
    </row>
    <row r="9" customFormat="false" ht="15" hidden="false" customHeight="false" outlineLevel="0" collapsed="false">
      <c r="A9" s="2" t="s">
        <v>32</v>
      </c>
      <c r="B9" s="2" t="s">
        <v>33</v>
      </c>
      <c r="C9" s="3" t="s">
        <v>13</v>
      </c>
      <c r="D9" s="3" t="s">
        <v>14</v>
      </c>
      <c r="E9" s="3" t="s">
        <v>27</v>
      </c>
      <c r="F9" s="2"/>
      <c r="G9" s="2"/>
      <c r="H9" s="2" t="s">
        <v>34</v>
      </c>
      <c r="I9" s="2"/>
      <c r="J9" s="3" t="s">
        <v>27</v>
      </c>
      <c r="K9" s="3" t="s">
        <v>35</v>
      </c>
    </row>
    <row r="10" customFormat="false" ht="15" hidden="false" customHeight="false" outlineLevel="0" collapsed="false">
      <c r="A10" s="2" t="s">
        <v>36</v>
      </c>
      <c r="B10" s="2" t="s">
        <v>33</v>
      </c>
      <c r="C10" s="3" t="s">
        <v>19</v>
      </c>
      <c r="D10" s="3" t="s">
        <v>14</v>
      </c>
      <c r="E10" s="3" t="s">
        <v>27</v>
      </c>
      <c r="F10" s="2"/>
      <c r="G10" s="2"/>
      <c r="H10" s="2" t="s">
        <v>34</v>
      </c>
      <c r="I10" s="2"/>
      <c r="J10" s="3" t="s">
        <v>27</v>
      </c>
      <c r="K10" s="3" t="s">
        <v>35</v>
      </c>
    </row>
    <row r="11" customFormat="false" ht="15" hidden="false" customHeight="false" outlineLevel="0" collapsed="false">
      <c r="A11" s="2" t="s">
        <v>37</v>
      </c>
      <c r="B11" s="2" t="s">
        <v>33</v>
      </c>
      <c r="C11" s="3" t="s">
        <v>38</v>
      </c>
      <c r="D11" s="3" t="s">
        <v>14</v>
      </c>
      <c r="E11" s="3" t="s">
        <v>23</v>
      </c>
      <c r="F11" s="2"/>
      <c r="G11" s="2"/>
      <c r="H11" s="2" t="s">
        <v>39</v>
      </c>
      <c r="I11" s="2"/>
      <c r="J11" s="3" t="s">
        <v>23</v>
      </c>
      <c r="K11" s="3" t="s">
        <v>40</v>
      </c>
    </row>
    <row r="12" customFormat="false" ht="15" hidden="false" customHeight="false" outlineLevel="0" collapsed="false">
      <c r="A12" s="2" t="s">
        <v>41</v>
      </c>
      <c r="B12" s="2" t="s">
        <v>33</v>
      </c>
      <c r="C12" s="3" t="s">
        <v>42</v>
      </c>
      <c r="D12" s="3" t="s">
        <v>22</v>
      </c>
      <c r="E12" s="3" t="s">
        <v>15</v>
      </c>
      <c r="F12" s="2"/>
      <c r="G12" s="2"/>
      <c r="H12" s="2" t="s">
        <v>34</v>
      </c>
      <c r="I12" s="2"/>
      <c r="J12" s="3" t="s">
        <v>43</v>
      </c>
      <c r="K12" s="3" t="s">
        <v>44</v>
      </c>
    </row>
    <row r="15" customFormat="false" ht="15" hidden="false" customHeight="false" outlineLevel="0" collapsed="false">
      <c r="A15" s="4" t="s">
        <v>45</v>
      </c>
    </row>
    <row r="16" customFormat="false" ht="15" hidden="false" customHeight="false" outlineLevel="0" collapsed="false">
      <c r="A16" s="5" t="s">
        <v>46</v>
      </c>
      <c r="B16" s="6" t="n">
        <f aca="false">COUNTIF(D:D,"فني")+COUNTIF(D:D,"فني مشرف")</f>
        <v>8</v>
      </c>
    </row>
    <row r="17" customFormat="false" ht="15" hidden="false" customHeight="false" outlineLevel="0" collapsed="false">
      <c r="A17" s="5" t="s">
        <v>47</v>
      </c>
      <c r="B17" s="6" t="n">
        <f aca="false">COUNTIF(D:D,"مساعد")</f>
        <v>3</v>
      </c>
    </row>
    <row r="18" customFormat="false" ht="15" hidden="false" customHeight="false" outlineLevel="0" collapsed="false">
      <c r="A18" s="5" t="s">
        <v>48</v>
      </c>
      <c r="B18" s="6" t="n">
        <f aca="false">COUNTA(C2:C12)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6.85" hidden="false" customHeight="fals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10</v>
      </c>
    </row>
    <row r="2" customFormat="false" ht="15" hidden="false" customHeight="false" outlineLevel="0" collapsed="false">
      <c r="A2" s="3" t="s">
        <v>57</v>
      </c>
      <c r="B2" s="2" t="s">
        <v>20</v>
      </c>
      <c r="C2" s="2" t="s">
        <v>58</v>
      </c>
      <c r="D2" s="2" t="s">
        <v>20</v>
      </c>
      <c r="E2" s="2" t="s">
        <v>20</v>
      </c>
      <c r="F2" s="2" t="s">
        <v>30</v>
      </c>
      <c r="G2" s="2" t="s">
        <v>20</v>
      </c>
      <c r="H2" s="3" t="s">
        <v>59</v>
      </c>
      <c r="I2" s="3" t="s">
        <v>60</v>
      </c>
    </row>
    <row r="3" customFormat="false" ht="15" hidden="false" customHeight="false" outlineLevel="0" collapsed="false">
      <c r="A3" s="3" t="s">
        <v>25</v>
      </c>
      <c r="B3" s="2" t="s">
        <v>20</v>
      </c>
      <c r="C3" s="2" t="s">
        <v>61</v>
      </c>
      <c r="D3" s="2" t="s">
        <v>20</v>
      </c>
      <c r="E3" s="2" t="s">
        <v>11</v>
      </c>
      <c r="F3" s="2" t="s">
        <v>24</v>
      </c>
      <c r="G3" s="2" t="s">
        <v>62</v>
      </c>
      <c r="H3" s="3" t="s">
        <v>63</v>
      </c>
      <c r="I3" s="3" t="s">
        <v>64</v>
      </c>
    </row>
    <row r="4" customFormat="false" ht="15" hidden="false" customHeight="false" outlineLevel="0" collapsed="false">
      <c r="A4" s="3" t="s">
        <v>65</v>
      </c>
      <c r="B4" s="2" t="s">
        <v>20</v>
      </c>
      <c r="C4" s="2" t="s">
        <v>61</v>
      </c>
      <c r="D4" s="2" t="s">
        <v>24</v>
      </c>
      <c r="E4" s="2" t="s">
        <v>18</v>
      </c>
      <c r="F4" s="2" t="s">
        <v>30</v>
      </c>
      <c r="G4" s="2" t="s">
        <v>18</v>
      </c>
      <c r="H4" s="3" t="s">
        <v>59</v>
      </c>
      <c r="I4" s="3" t="s">
        <v>66</v>
      </c>
    </row>
    <row r="5" customFormat="false" ht="15" hidden="false" customHeight="false" outlineLevel="0" collapsed="false">
      <c r="A5" s="3" t="s">
        <v>67</v>
      </c>
      <c r="B5" s="2" t="s">
        <v>18</v>
      </c>
      <c r="C5" s="3" t="s">
        <v>68</v>
      </c>
      <c r="D5" s="2" t="s">
        <v>18</v>
      </c>
      <c r="E5" s="2" t="s">
        <v>11</v>
      </c>
      <c r="F5" s="2" t="s">
        <v>20</v>
      </c>
      <c r="G5" s="3" t="s">
        <v>69</v>
      </c>
      <c r="H5" s="3" t="s">
        <v>70</v>
      </c>
      <c r="I5" s="3" t="s">
        <v>71</v>
      </c>
    </row>
    <row r="6" customFormat="false" ht="15" hidden="false" customHeight="false" outlineLevel="0" collapsed="false">
      <c r="A6" s="3" t="s">
        <v>72</v>
      </c>
      <c r="B6" s="2" t="s">
        <v>11</v>
      </c>
      <c r="C6" s="3" t="s">
        <v>68</v>
      </c>
      <c r="D6" s="2" t="s">
        <v>11</v>
      </c>
      <c r="E6" s="2" t="s">
        <v>11</v>
      </c>
      <c r="F6" s="2" t="s">
        <v>18</v>
      </c>
      <c r="G6" s="3" t="s">
        <v>69</v>
      </c>
      <c r="H6" s="3" t="s">
        <v>70</v>
      </c>
      <c r="I6" s="3" t="s">
        <v>73</v>
      </c>
    </row>
    <row r="8" customFormat="false" ht="15" hidden="false" customHeight="false" outlineLevel="0" collapsed="false">
      <c r="A8" s="4" t="s">
        <v>74</v>
      </c>
    </row>
    <row r="9" customFormat="false" ht="15" hidden="false" customHeight="false" outlineLevel="0" collapsed="false">
      <c r="A9" s="7" t="s">
        <v>75</v>
      </c>
      <c r="B9" s="0" t="n">
        <f aca="false">SUM(D2:D6)</f>
        <v>0</v>
      </c>
    </row>
    <row r="10" customFormat="false" ht="15" hidden="false" customHeight="false" outlineLevel="0" collapsed="false">
      <c r="A10" s="7" t="s">
        <v>76</v>
      </c>
      <c r="B10" s="0" t="n">
        <f aca="false">SUM(E2:E6)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6" min="4" style="0" width="12"/>
    <col collapsed="false" customWidth="true" hidden="false" outlineLevel="0" max="7" min="7" style="0" width="15"/>
    <col collapsed="false" customWidth="true" hidden="false" outlineLevel="0" max="10" min="8" style="0" width="12"/>
    <col collapsed="false" customWidth="true" hidden="false" outlineLevel="0" max="11" min="11" style="0" width="25"/>
  </cols>
  <sheetData>
    <row r="1" customFormat="false" ht="26.85" hidden="false" customHeight="false" outlineLevel="0" collapsed="false">
      <c r="A1" s="1" t="s">
        <v>77</v>
      </c>
      <c r="B1" s="1" t="s">
        <v>2</v>
      </c>
      <c r="C1" s="1" t="s">
        <v>1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10</v>
      </c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9" t="e">
        <f aca="false">AVERAGE(D2:H2)</f>
        <v>#DIV/0!</v>
      </c>
      <c r="J2" s="8" t="e">
        <f aca="false">IF(I2&gt;=4.5,"ممتاز",IF(I2&gt;=3.5,"جيد جداً",IF(I2&gt;=2.5,"جيد",IF(I2&gt;=1.5,"مقبول","ضعيف"))))</f>
        <v>#DIV/0!</v>
      </c>
      <c r="K2" s="8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9" t="e">
        <f aca="false">AVERAGE(D3:H3)</f>
        <v>#DIV/0!</v>
      </c>
      <c r="J3" s="8" t="e">
        <f aca="false">IF(I3&gt;=4.5,"ممتاز",IF(I3&gt;=3.5,"جيد جداً",IF(I3&gt;=2.5,"جيد",IF(I3&gt;=1.5,"مقبول","ضعيف"))))</f>
        <v>#DIV/0!</v>
      </c>
      <c r="K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9" t="e">
        <f aca="false">AVERAGE(D4:H4)</f>
        <v>#DIV/0!</v>
      </c>
      <c r="J4" s="8" t="e">
        <f aca="false">IF(I4&gt;=4.5,"ممتاز",IF(I4&gt;=3.5,"جيد جداً",IF(I4&gt;=2.5,"جيد",IF(I4&gt;=1.5,"مقبول","ضعيف"))))</f>
        <v>#DIV/0!</v>
      </c>
      <c r="K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9" t="e">
        <f aca="false">AVERAGE(D5:H5)</f>
        <v>#DIV/0!</v>
      </c>
      <c r="J5" s="8" t="e">
        <f aca="false">IF(I5&gt;=4.5,"ممتاز",IF(I5&gt;=3.5,"جيد جداً",IF(I5&gt;=2.5,"جيد",IF(I5&gt;=1.5,"مقبول","ضعيف"))))</f>
        <v>#DIV/0!</v>
      </c>
      <c r="K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9" t="e">
        <f aca="false">AVERAGE(D6:H6)</f>
        <v>#DIV/0!</v>
      </c>
      <c r="J6" s="8" t="e">
        <f aca="false">IF(I6&gt;=4.5,"ممتاز",IF(I6&gt;=3.5,"جيد جداً",IF(I6&gt;=2.5,"جيد",IF(I6&gt;=1.5,"مقبول","ضعيف"))))</f>
        <v>#DIV/0!</v>
      </c>
      <c r="K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9" t="e">
        <f aca="false">AVERAGE(D7:H7)</f>
        <v>#DIV/0!</v>
      </c>
      <c r="J7" s="8" t="e">
        <f aca="false">IF(I7&gt;=4.5,"ممتاز",IF(I7&gt;=3.5,"جيد جداً",IF(I7&gt;=2.5,"جيد",IF(I7&gt;=1.5,"مقبول","ضعيف"))))</f>
        <v>#DIV/0!</v>
      </c>
      <c r="K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9" t="e">
        <f aca="false">AVERAGE(D8:H8)</f>
        <v>#DIV/0!</v>
      </c>
      <c r="J8" s="8" t="e">
        <f aca="false">IF(I8&gt;=4.5,"ممتاز",IF(I8&gt;=3.5,"جيد جداً",IF(I8&gt;=2.5,"جيد",IF(I8&gt;=1.5,"مقبول","ضعيف"))))</f>
        <v>#DIV/0!</v>
      </c>
      <c r="K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9" t="e">
        <f aca="false">AVERAGE(D9:H9)</f>
        <v>#DIV/0!</v>
      </c>
      <c r="J9" s="8" t="e">
        <f aca="false">IF(I9&gt;=4.5,"ممتاز",IF(I9&gt;=3.5,"جيد جداً",IF(I9&gt;=2.5,"جيد",IF(I9&gt;=1.5,"مقبول","ضعيف"))))</f>
        <v>#DIV/0!</v>
      </c>
      <c r="K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9" t="e">
        <f aca="false">AVERAGE(D10:H10)</f>
        <v>#DIV/0!</v>
      </c>
      <c r="J10" s="8" t="e">
        <f aca="false">IF(I10&gt;=4.5,"ممتاز",IF(I10&gt;=3.5,"جيد جداً",IF(I10&gt;=2.5,"جيد",IF(I10&gt;=1.5,"مقبول","ضعيف"))))</f>
        <v>#DIV/0!</v>
      </c>
      <c r="K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9" t="e">
        <f aca="false">AVERAGE(D11:H11)</f>
        <v>#DIV/0!</v>
      </c>
      <c r="J11" s="8" t="e">
        <f aca="false">IF(I11&gt;=4.5,"ممتاز",IF(I11&gt;=3.5,"جيد جداً",IF(I11&gt;=2.5,"جيد",IF(I11&gt;=1.5,"مقبول","ضعيف"))))</f>
        <v>#DIV/0!</v>
      </c>
      <c r="K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9" t="e">
        <f aca="false">AVERAGE(D12:H12)</f>
        <v>#DIV/0!</v>
      </c>
      <c r="J12" s="8" t="e">
        <f aca="false">IF(I12&gt;=4.5,"ممتاز",IF(I12&gt;=3.5,"جيد جداً",IF(I12&gt;=2.5,"جيد",IF(I12&gt;=1.5,"مقبول","ضعيف"))))</f>
        <v>#DIV/0!</v>
      </c>
      <c r="K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9" t="e">
        <f aca="false">AVERAGE(D13:H13)</f>
        <v>#DIV/0!</v>
      </c>
      <c r="J13" s="8" t="e">
        <f aca="false">IF(I13&gt;=4.5,"ممتاز",IF(I13&gt;=3.5,"جيد جداً",IF(I13&gt;=2.5,"جيد",IF(I13&gt;=1.5,"مقبول","ضعيف"))))</f>
        <v>#DIV/0!</v>
      </c>
      <c r="K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9" t="e">
        <f aca="false">AVERAGE(D14:H14)</f>
        <v>#DIV/0!</v>
      </c>
      <c r="J14" s="8" t="e">
        <f aca="false">IF(I14&gt;=4.5,"ممتاز",IF(I14&gt;=3.5,"جيد جداً",IF(I14&gt;=2.5,"جيد",IF(I14&gt;=1.5,"مقبول","ضعيف"))))</f>
        <v>#DIV/0!</v>
      </c>
      <c r="K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9" t="e">
        <f aca="false">AVERAGE(D15:H15)</f>
        <v>#DIV/0!</v>
      </c>
      <c r="J15" s="8" t="e">
        <f aca="false">IF(I15&gt;=4.5,"ممتاز",IF(I15&gt;=3.5,"جيد جداً",IF(I15&gt;=2.5,"جيد",IF(I15&gt;=1.5,"مقبول","ضعيف"))))</f>
        <v>#DIV/0!</v>
      </c>
      <c r="K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9" t="e">
        <f aca="false">AVERAGE(D16:H16)</f>
        <v>#DIV/0!</v>
      </c>
      <c r="J16" s="8" t="e">
        <f aca="false">IF(I16&gt;=4.5,"ممتاز",IF(I16&gt;=3.5,"جيد جداً",IF(I16&gt;=2.5,"جيد",IF(I16&gt;=1.5,"مقبول","ضعيف"))))</f>
        <v>#DIV/0!</v>
      </c>
      <c r="K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9" t="e">
        <f aca="false">AVERAGE(D17:H17)</f>
        <v>#DIV/0!</v>
      </c>
      <c r="J17" s="8" t="e">
        <f aca="false">IF(I17&gt;=4.5,"ممتاز",IF(I17&gt;=3.5,"جيد جداً",IF(I17&gt;=2.5,"جيد",IF(I17&gt;=1.5,"مقبول","ضعيف"))))</f>
        <v>#DIV/0!</v>
      </c>
      <c r="K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9" t="e">
        <f aca="false">AVERAGE(D18:H18)</f>
        <v>#DIV/0!</v>
      </c>
      <c r="J18" s="8" t="e">
        <f aca="false">IF(I18&gt;=4.5,"ممتاز",IF(I18&gt;=3.5,"جيد جداً",IF(I18&gt;=2.5,"جيد",IF(I18&gt;=1.5,"مقبول","ضعيف"))))</f>
        <v>#DIV/0!</v>
      </c>
      <c r="K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9" t="e">
        <f aca="false">AVERAGE(D19:H19)</f>
        <v>#DIV/0!</v>
      </c>
      <c r="J19" s="8" t="e">
        <f aca="false">IF(I19&gt;=4.5,"ممتاز",IF(I19&gt;=3.5,"جيد جداً",IF(I19&gt;=2.5,"جيد",IF(I19&gt;=1.5,"مقبول","ضعيف"))))</f>
        <v>#DIV/0!</v>
      </c>
      <c r="K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9" t="e">
        <f aca="false">AVERAGE(D20:H20)</f>
        <v>#DIV/0!</v>
      </c>
      <c r="J20" s="8" t="e">
        <f aca="false">IF(I20&gt;=4.5,"ممتاز",IF(I20&gt;=3.5,"جيد جداً",IF(I20&gt;=2.5,"جيد",IF(I20&gt;=1.5,"مقبول","ضعيف"))))</f>
        <v>#DIV/0!</v>
      </c>
      <c r="K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9" t="e">
        <f aca="false">AVERAGE(D21:H21)</f>
        <v>#DIV/0!</v>
      </c>
      <c r="J21" s="8" t="e">
        <f aca="false">IF(I21&gt;=4.5,"ممتاز",IF(I21&gt;=3.5,"جيد جداً",IF(I21&gt;=2.5,"جيد",IF(I21&gt;=1.5,"مقبول","ضعيف"))))</f>
        <v>#DIV/0!</v>
      </c>
      <c r="K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9" t="e">
        <f aca="false">AVERAGE(D22:H22)</f>
        <v>#DIV/0!</v>
      </c>
      <c r="J22" s="8" t="e">
        <f aca="false">IF(I22&gt;=4.5,"ممتاز",IF(I22&gt;=3.5,"جيد جداً",IF(I22&gt;=2.5,"جيد",IF(I22&gt;=1.5,"مقبول","ضعيف"))))</f>
        <v>#DIV/0!</v>
      </c>
      <c r="K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9" t="e">
        <f aca="false">AVERAGE(D23:H23)</f>
        <v>#DIV/0!</v>
      </c>
      <c r="J23" s="8" t="e">
        <f aca="false">IF(I23&gt;=4.5,"ممتاز",IF(I23&gt;=3.5,"جيد جداً",IF(I23&gt;=2.5,"جيد",IF(I23&gt;=1.5,"مقبول","ضعيف"))))</f>
        <v>#DIV/0!</v>
      </c>
      <c r="K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9" t="e">
        <f aca="false">AVERAGE(D24:H24)</f>
        <v>#DIV/0!</v>
      </c>
      <c r="J24" s="8" t="e">
        <f aca="false">IF(I24&gt;=4.5,"ممتاز",IF(I24&gt;=3.5,"جيد جداً",IF(I24&gt;=2.5,"جيد",IF(I24&gt;=1.5,"مقبول","ضعيف"))))</f>
        <v>#DIV/0!</v>
      </c>
      <c r="K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9" t="e">
        <f aca="false">AVERAGE(D25:H25)</f>
        <v>#DIV/0!</v>
      </c>
      <c r="J25" s="8" t="e">
        <f aca="false">IF(I25&gt;=4.5,"ممتاز",IF(I25&gt;=3.5,"جيد جداً",IF(I25&gt;=2.5,"جيد",IF(I25&gt;=1.5,"مقبول","ضعيف"))))</f>
        <v>#DIV/0!</v>
      </c>
      <c r="K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9" t="e">
        <f aca="false">AVERAGE(D26:H26)</f>
        <v>#DIV/0!</v>
      </c>
      <c r="J26" s="8" t="e">
        <f aca="false">IF(I26&gt;=4.5,"ممتاز",IF(I26&gt;=3.5,"جيد جداً",IF(I26&gt;=2.5,"جيد",IF(I26&gt;=1.5,"مقبول","ضعيف"))))</f>
        <v>#DIV/0!</v>
      </c>
      <c r="K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9" t="e">
        <f aca="false">AVERAGE(D27:H27)</f>
        <v>#DIV/0!</v>
      </c>
      <c r="J27" s="8" t="e">
        <f aca="false">IF(I27&gt;=4.5,"ممتاز",IF(I27&gt;=3.5,"جيد جداً",IF(I27&gt;=2.5,"جيد",IF(I27&gt;=1.5,"مقبول","ضعيف"))))</f>
        <v>#DIV/0!</v>
      </c>
      <c r="K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9" t="e">
        <f aca="false">AVERAGE(D28:H28)</f>
        <v>#DIV/0!</v>
      </c>
      <c r="J28" s="8" t="e">
        <f aca="false">IF(I28&gt;=4.5,"ممتاز",IF(I28&gt;=3.5,"جيد جداً",IF(I28&gt;=2.5,"جيد",IF(I28&gt;=1.5,"مقبول","ضعيف"))))</f>
        <v>#DIV/0!</v>
      </c>
      <c r="K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9" t="e">
        <f aca="false">AVERAGE(D29:H29)</f>
        <v>#DIV/0!</v>
      </c>
      <c r="J29" s="8" t="e">
        <f aca="false">IF(I29&gt;=4.5,"ممتاز",IF(I29&gt;=3.5,"جيد جداً",IF(I29&gt;=2.5,"جيد",IF(I29&gt;=1.5,"مقبول","ضعيف"))))</f>
        <v>#DIV/0!</v>
      </c>
      <c r="K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9" t="e">
        <f aca="false">AVERAGE(D30:H30)</f>
        <v>#DIV/0!</v>
      </c>
      <c r="J30" s="8" t="e">
        <f aca="false">IF(I30&gt;=4.5,"ممتاز",IF(I30&gt;=3.5,"جيد جداً",IF(I30&gt;=2.5,"جيد",IF(I30&gt;=1.5,"مقبول","ضعيف"))))</f>
        <v>#DIV/0!</v>
      </c>
      <c r="K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9" t="e">
        <f aca="false">AVERAGE(D31:H31)</f>
        <v>#DIV/0!</v>
      </c>
      <c r="J31" s="8" t="e">
        <f aca="false">IF(I31&gt;=4.5,"ممتاز",IF(I31&gt;=3.5,"جيد جداً",IF(I31&gt;=2.5,"جيد",IF(I31&gt;=1.5,"مقبول","ضعيف"))))</f>
        <v>#DIV/0!</v>
      </c>
      <c r="K31" s="8"/>
    </row>
    <row r="33" customFormat="false" ht="12.65" hidden="false" customHeight="false" outlineLevel="0" collapsed="false">
      <c r="A33" s="10" t="s">
        <v>85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</row>
  </sheetData>
  <mergeCells count="1">
    <mergeCell ref="A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2026-01-30T12:36:08Z</dcterms:created>
  <dc:creator>openpyxl</dc:creator>
  <dc:description/>
  <dc:language>en-US</dc:language>
  <cp:lastModifiedBy/>
  <dcterms:modified xsi:type="dcterms:W3CDTF">2026-01-30T12:36:08Z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
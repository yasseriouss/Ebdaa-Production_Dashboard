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علومات الماكينات التفصيلية" sheetId="1" state="visible" r:id="rId1"/>
    <sheet xmlns:r="http://schemas.openxmlformats.org/officeDocument/2006/relationships" name="ماكينات لصق الشريط" sheetId="2" state="visible" r:id="rId2"/>
    <sheet xmlns:r="http://schemas.openxmlformats.org/officeDocument/2006/relationships" name="ماكينات الراوتر" sheetId="3" state="visible" r:id="rId3"/>
    <sheet xmlns:r="http://schemas.openxmlformats.org/officeDocument/2006/relationships" name="تحليل R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b val="1"/>
      <color rgb="00FFFFFF"/>
      <sz val="12"/>
    </font>
    <font>
      <b val="1"/>
      <color rgb="00FFFFFF"/>
    </font>
    <font>
      <b val="1"/>
      <color rgb="00000080"/>
    </font>
    <font>
      <i val="1"/>
      <color rgb="00C00000"/>
      <sz val="11"/>
    </font>
    <font>
      <b val="1"/>
      <color rgb="00000080"/>
      <sz val="12"/>
    </font>
    <font>
      <b val="1"/>
    </font>
    <font/>
    <font>
      <name val="Arial"/>
      <b val="1"/>
      <color rgb="00FFFFFF"/>
      <sz val="11"/>
    </font>
    <font>
      <b val="1"/>
      <color rgb="00000080"/>
      <sz val="11"/>
    </font>
    <font>
      <b val="1"/>
      <color rgb="00C00000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5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40" customWidth="1" min="4" max="4"/>
    <col width="15" customWidth="1" min="5" max="5"/>
    <col width="15" customWidth="1" min="6" max="6"/>
  </cols>
  <sheetData>
    <row r="1">
      <c r="A1" s="1" t="inlineStr">
        <is>
          <t>دليل الماكينات الشامل - المواصفات والإحداثيات</t>
        </is>
      </c>
    </row>
    <row r="3">
      <c r="A3" s="2" t="inlineStr">
        <is>
          <t>1. ماكينة التخريم HOMAG DRILLTEQ V-200</t>
        </is>
      </c>
    </row>
    <row r="4">
      <c r="A4" s="3" t="inlineStr">
        <is>
          <t>المواصفة</t>
        </is>
      </c>
      <c r="B4" s="4" t="inlineStr">
        <is>
          <t>القيمة</t>
        </is>
      </c>
      <c r="C4" s="4" t="inlineStr">
        <is>
          <t>الوحدة</t>
        </is>
      </c>
      <c r="D4" s="4" t="inlineStr">
        <is>
          <t>ملاحظات</t>
        </is>
      </c>
    </row>
    <row r="5" ht="5" customHeight="1">
      <c r="A5" s="4" t="inlineStr"/>
      <c r="B5" s="4" t="inlineStr"/>
      <c r="C5" s="4" t="inlineStr"/>
      <c r="D5" s="4" t="inlineStr"/>
    </row>
    <row r="6">
      <c r="A6" s="4" t="inlineStr">
        <is>
          <t>الشركة المصنعة</t>
        </is>
      </c>
      <c r="B6" s="4" t="inlineStr">
        <is>
          <t>HOMAG</t>
        </is>
      </c>
      <c r="C6" s="4" t="inlineStr"/>
      <c r="D6" s="4" t="inlineStr">
        <is>
          <t>شركة ألمانية رائدة في معدات النجارة</t>
        </is>
      </c>
    </row>
    <row r="7">
      <c r="A7" s="4" t="inlineStr">
        <is>
          <t>الموديل</t>
        </is>
      </c>
      <c r="B7" s="4" t="inlineStr">
        <is>
          <t>DRILLTEQ V-200</t>
        </is>
      </c>
      <c r="C7" s="4" t="inlineStr"/>
      <c r="D7" s="4" t="inlineStr">
        <is>
          <t>مركز معالجة عمودي متعدد الوظائف</t>
        </is>
      </c>
    </row>
    <row r="8">
      <c r="A8" s="4" t="inlineStr">
        <is>
          <t>النوع</t>
        </is>
      </c>
      <c r="B8" s="4" t="inlineStr">
        <is>
          <t>Vertical CNC Boring Machine</t>
        </is>
      </c>
      <c r="C8" s="4" t="inlineStr"/>
      <c r="D8" s="4" t="inlineStr">
        <is>
          <t>ماكينة تخريم ع مودية CNC</t>
        </is>
      </c>
    </row>
    <row r="9" ht="5" customHeight="1">
      <c r="A9" s="4" t="inlineStr"/>
      <c r="B9" s="4" t="inlineStr"/>
      <c r="C9" s="4" t="inlineStr"/>
      <c r="D9" s="4" t="inlineStr"/>
    </row>
    <row r="10">
      <c r="A10" s="5" t="inlineStr">
        <is>
          <t>إحداثيات العمل (Working Capacity):</t>
        </is>
      </c>
      <c r="B10" s="4" t="inlineStr"/>
      <c r="C10" s="4" t="inlineStr"/>
      <c r="D10" s="4" t="inlineStr"/>
    </row>
    <row r="11">
      <c r="A11" s="4" t="inlineStr">
        <is>
          <t>أقصى عرض للقطعة (X-axis)</t>
        </is>
      </c>
      <c r="B11" s="4" t="inlineStr">
        <is>
          <t>3050</t>
        </is>
      </c>
      <c r="C11" s="4" t="inlineStr">
        <is>
          <t>مم</t>
        </is>
      </c>
      <c r="D11" s="4" t="inlineStr">
        <is>
          <t>120 بوصة</t>
        </is>
      </c>
    </row>
    <row r="12">
      <c r="A12" s="4" t="inlineStr">
        <is>
          <t>أقصى ارتفاع للقطعة (Y-axis)</t>
        </is>
      </c>
      <c r="B12" s="4" t="inlineStr">
        <is>
          <t>850</t>
        </is>
      </c>
      <c r="C12" s="4" t="inlineStr">
        <is>
          <t>مم</t>
        </is>
      </c>
      <c r="D12" s="4" t="inlineStr">
        <is>
          <t>33.4 بوصة</t>
        </is>
      </c>
    </row>
    <row r="13">
      <c r="A13" s="4" t="inlineStr">
        <is>
          <t>أقصى سمك للقطعة</t>
        </is>
      </c>
      <c r="B13" s="4" t="inlineStr">
        <is>
          <t>80</t>
        </is>
      </c>
      <c r="C13" s="4" t="inlineStr">
        <is>
          <t>مم</t>
        </is>
      </c>
      <c r="D13" s="4" t="inlineStr">
        <is>
          <t>3.1 بوصة</t>
        </is>
      </c>
    </row>
    <row r="14">
      <c r="A14" s="4" t="inlineStr">
        <is>
          <t>أدنى عرض للقطعة (X-axis)</t>
        </is>
      </c>
      <c r="B14" s="4" t="inlineStr">
        <is>
          <t>200</t>
        </is>
      </c>
      <c r="C14" s="4" t="inlineStr">
        <is>
          <t>مم</t>
        </is>
      </c>
      <c r="D14" s="4" t="inlineStr">
        <is>
          <t>7.8 بوصة</t>
        </is>
      </c>
    </row>
    <row r="15">
      <c r="A15" s="4" t="inlineStr">
        <is>
          <t>أدنى ارتفاع للقطعة (Y-axis)</t>
        </is>
      </c>
      <c r="B15" s="4" t="inlineStr">
        <is>
          <t>70</t>
        </is>
      </c>
      <c r="C15" s="4" t="inlineStr">
        <is>
          <t>مم</t>
        </is>
      </c>
      <c r="D15" s="4" t="inlineStr">
        <is>
          <t>2.75 بوصة</t>
        </is>
      </c>
    </row>
    <row r="16">
      <c r="A16" s="4" t="inlineStr">
        <is>
          <t>أدنى سمك للقطعة</t>
        </is>
      </c>
      <c r="B16" s="4" t="inlineStr">
        <is>
          <t>8</t>
        </is>
      </c>
      <c r="C16" s="4" t="inlineStr">
        <is>
          <t>مم</t>
        </is>
      </c>
      <c r="D16" s="4" t="inlineStr">
        <is>
          <t>0.31 بوصة</t>
        </is>
      </c>
    </row>
    <row r="17" ht="5" customHeight="1">
      <c r="A17" s="4" t="inlineStr"/>
      <c r="B17" s="4" t="inlineStr"/>
      <c r="C17" s="4" t="inlineStr"/>
      <c r="D17" s="4" t="inlineStr"/>
    </row>
    <row r="18">
      <c r="A18" s="5" t="inlineStr">
        <is>
          <t>سرعات الحركة (Positioning Speed):</t>
        </is>
      </c>
      <c r="B18" s="4" t="inlineStr"/>
      <c r="C18" s="4" t="inlineStr"/>
      <c r="D18" s="4" t="inlineStr"/>
    </row>
    <row r="19">
      <c r="A19" s="4" t="inlineStr">
        <is>
          <t>سرعة المحور X</t>
        </is>
      </c>
      <c r="B19" s="4" t="inlineStr">
        <is>
          <t>50</t>
        </is>
      </c>
      <c r="C19" s="4" t="inlineStr">
        <is>
          <t>متر/دقيقة</t>
        </is>
      </c>
      <c r="D19" s="4" t="inlineStr">
        <is>
          <t>164 قدم/دقيقة</t>
        </is>
      </c>
    </row>
    <row r="20">
      <c r="A20" s="4" t="inlineStr">
        <is>
          <t>سرعة المحور Y</t>
        </is>
      </c>
      <c r="B20" s="4" t="inlineStr">
        <is>
          <t>50</t>
        </is>
      </c>
      <c r="C20" s="4" t="inlineStr">
        <is>
          <t>متر/دقيقة</t>
        </is>
      </c>
      <c r="D20" s="4" t="inlineStr">
        <is>
          <t>164 قدم/دقيقة</t>
        </is>
      </c>
    </row>
    <row r="21">
      <c r="A21" s="4" t="inlineStr">
        <is>
          <t>سرعة المحور Z</t>
        </is>
      </c>
      <c r="B21" s="4" t="inlineStr">
        <is>
          <t>15</t>
        </is>
      </c>
      <c r="C21" s="4" t="inlineStr">
        <is>
          <t>متر/دقيقة</t>
        </is>
      </c>
      <c r="D21" s="4" t="inlineStr">
        <is>
          <t>50 قدم/دقيقة</t>
        </is>
      </c>
    </row>
    <row r="22" ht="5" customHeight="1">
      <c r="A22" s="4" t="inlineStr"/>
      <c r="B22" s="4" t="inlineStr"/>
      <c r="C22" s="4" t="inlineStr"/>
      <c r="D22" s="4" t="inlineStr"/>
    </row>
    <row r="23">
      <c r="A23" s="5" t="inlineStr">
        <is>
          <t>وحدة التخريم (Boring Unit):</t>
        </is>
      </c>
      <c r="B23" s="4" t="inlineStr"/>
      <c r="C23" s="4" t="inlineStr"/>
      <c r="D23" s="4" t="inlineStr"/>
    </row>
    <row r="24">
      <c r="A24" s="4" t="inlineStr">
        <is>
          <t>القدرة</t>
        </is>
      </c>
      <c r="B24" s="4" t="inlineStr">
        <is>
          <t>2.3</t>
        </is>
      </c>
      <c r="C24" s="4" t="inlineStr">
        <is>
          <t>كيلو وات</t>
        </is>
      </c>
      <c r="D24" s="4" t="inlineStr">
        <is>
          <t>3 حصان</t>
        </is>
      </c>
    </row>
    <row r="25">
      <c r="A25" s="4" t="inlineStr">
        <is>
          <t>سرعة الدوران</t>
        </is>
      </c>
      <c r="B25" s="4" t="inlineStr">
        <is>
          <t>1500 - 7500</t>
        </is>
      </c>
      <c r="C25" s="4" t="inlineStr">
        <is>
          <t>RPM</t>
        </is>
      </c>
      <c r="D25" s="4" t="inlineStr">
        <is>
          <t>سرعة متغيرة</t>
        </is>
      </c>
    </row>
    <row r="26">
      <c r="A26" s="4" t="inlineStr">
        <is>
          <t>عدد المغازل المستقلة</t>
        </is>
      </c>
      <c r="B26" s="4" t="inlineStr">
        <is>
          <t>13</t>
        </is>
      </c>
      <c r="C26" s="4" t="inlineStr">
        <is>
          <t>مغزل</t>
        </is>
      </c>
      <c r="D26" s="4" t="inlineStr">
        <is>
          <t>8 في X + 5 في Y</t>
        </is>
      </c>
    </row>
    <row r="27">
      <c r="A27" s="4" t="inlineStr">
        <is>
          <t>المغازل الأفقية</t>
        </is>
      </c>
      <c r="B27" s="4" t="inlineStr">
        <is>
          <t>6</t>
        </is>
      </c>
      <c r="C27" s="4" t="inlineStr">
        <is>
          <t>مغزل</t>
        </is>
      </c>
      <c r="D27" s="4" t="inlineStr">
        <is>
          <t>4 في X + 2 في Y</t>
        </is>
      </c>
    </row>
    <row r="28">
      <c r="A28" s="4" t="inlineStr">
        <is>
          <t>نظام التغيير السريع</t>
        </is>
      </c>
      <c r="B28" s="4" t="inlineStr">
        <is>
          <t>نعم</t>
        </is>
      </c>
      <c r="C28" s="4" t="inlineStr"/>
      <c r="D28" s="4" t="inlineStr">
        <is>
          <t>Quick Change Spindle System</t>
        </is>
      </c>
    </row>
    <row r="29" ht="5" customHeight="1">
      <c r="A29" s="4" t="inlineStr"/>
      <c r="B29" s="4" t="inlineStr"/>
      <c r="C29" s="4" t="inlineStr"/>
      <c r="D29" s="4" t="inlineStr"/>
    </row>
    <row r="30">
      <c r="A30" s="5" t="inlineStr">
        <is>
          <t>الحزم المتاحة (Packages):</t>
        </is>
      </c>
      <c r="B30" s="4" t="inlineStr"/>
      <c r="C30" s="4" t="inlineStr"/>
      <c r="D30" s="4" t="inlineStr"/>
    </row>
    <row r="31">
      <c r="A31" s="4" t="inlineStr">
        <is>
          <t>الحزمة 1</t>
        </is>
      </c>
      <c r="B31" s="4" t="inlineStr">
        <is>
          <t>8 مغازل عمودية + 6 أفقية + منشار أخدود</t>
        </is>
      </c>
      <c r="C31" s="4" t="inlineStr"/>
      <c r="D31" s="4" t="inlineStr"/>
    </row>
    <row r="32">
      <c r="A32" s="4" t="inlineStr">
        <is>
          <t>الحزمة 2</t>
        </is>
      </c>
      <c r="B32" s="4" t="inlineStr">
        <is>
          <t>13 مغزل عمودي عالي السرعة + 6 أفقية + منشار</t>
        </is>
      </c>
      <c r="C32" s="4" t="inlineStr"/>
      <c r="D32" s="4" t="inlineStr">
        <is>
          <t>الأكثر شيوعاً</t>
        </is>
      </c>
    </row>
    <row r="33">
      <c r="A33" s="4" t="inlineStr">
        <is>
          <t>الحزمة 3</t>
        </is>
      </c>
      <c r="B33" s="4" t="inlineStr">
        <is>
          <t>13 مغزل عمودي + 6 أفقية + منشار أخدود</t>
        </is>
      </c>
      <c r="C33" s="4" t="inlineStr"/>
      <c r="D33" s="4" t="inlineStr"/>
    </row>
    <row r="34" ht="5" customHeight="1">
      <c r="A34" s="4" t="inlineStr"/>
      <c r="B34" s="4" t="inlineStr"/>
      <c r="C34" s="4" t="inlineStr"/>
      <c r="D34" s="4" t="inlineStr"/>
    </row>
    <row r="35">
      <c r="A35" s="5" t="inlineStr">
        <is>
          <t>وحدة الفرايزة الاختيارية:</t>
        </is>
      </c>
      <c r="B35" s="4" t="inlineStr"/>
      <c r="C35" s="4" t="inlineStr"/>
      <c r="D35" s="4" t="inlineStr"/>
    </row>
    <row r="36">
      <c r="A36" s="4" t="inlineStr">
        <is>
          <t>القدرة</t>
        </is>
      </c>
      <c r="B36" s="4" t="inlineStr">
        <is>
          <t>9</t>
        </is>
      </c>
      <c r="C36" s="4" t="inlineStr">
        <is>
          <t>كيلو وات</t>
        </is>
      </c>
      <c r="D36" s="4" t="inlineStr">
        <is>
          <t>12 حصان</t>
        </is>
      </c>
    </row>
    <row r="37">
      <c r="A37" s="4" t="inlineStr">
        <is>
          <t>سرعة الدوران</t>
        </is>
      </c>
      <c r="B37" s="4" t="inlineStr">
        <is>
          <t>6000 - 24000</t>
        </is>
      </c>
      <c r="C37" s="4" t="inlineStr">
        <is>
          <t>RPM</t>
        </is>
      </c>
      <c r="D37" s="4" t="inlineStr">
        <is>
          <t>محرك كهربائي</t>
        </is>
      </c>
    </row>
    <row r="38">
      <c r="A38" s="4" t="inlineStr">
        <is>
          <t>منشار الأخدود</t>
        </is>
      </c>
      <c r="B38" s="4" t="inlineStr">
        <is>
          <t>9000</t>
        </is>
      </c>
      <c r="C38" s="4" t="inlineStr">
        <is>
          <t>RPM</t>
        </is>
      </c>
      <c r="D38" s="4" t="inlineStr">
        <is>
          <t>قطر شفرة 100 مم</t>
        </is>
      </c>
    </row>
    <row r="39" ht="5" customHeight="1">
      <c r="A39" s="4" t="inlineStr"/>
      <c r="B39" s="4" t="inlineStr"/>
      <c r="C39" s="4" t="inlineStr"/>
      <c r="D39" s="4" t="inlineStr"/>
    </row>
    <row r="40">
      <c r="A40" s="5" t="inlineStr">
        <is>
          <t>نظام التحكم:</t>
        </is>
      </c>
      <c r="B40" s="4" t="inlineStr"/>
      <c r="C40" s="4" t="inlineStr"/>
      <c r="D40" s="4" t="inlineStr"/>
    </row>
    <row r="41">
      <c r="A41" s="4" t="inlineStr">
        <is>
          <t>النظام</t>
        </is>
      </c>
      <c r="B41" s="4" t="inlineStr">
        <is>
          <t>HOMAG POWERTOUCH</t>
        </is>
      </c>
      <c r="C41" s="4" t="inlineStr"/>
      <c r="D41" s="4" t="inlineStr">
        <is>
          <t>Windows + WoodWOP</t>
        </is>
      </c>
    </row>
    <row r="42">
      <c r="A42" s="4" t="inlineStr">
        <is>
          <t>المعالج</t>
        </is>
      </c>
      <c r="B42" s="4" t="inlineStr">
        <is>
          <t>Intel Core 2 DUO</t>
        </is>
      </c>
      <c r="C42" s="4" t="inlineStr"/>
      <c r="D42" s="4" t="inlineStr"/>
    </row>
    <row r="43">
      <c r="A43" s="4" t="inlineStr">
        <is>
          <t>الشاشة</t>
        </is>
      </c>
      <c r="B43" s="4" t="inlineStr">
        <is>
          <t>21 بوصة TFT</t>
        </is>
      </c>
      <c r="C43" s="4" t="inlineStr"/>
      <c r="D43" s="4" t="inlineStr">
        <is>
          <t>شاشة لمس</t>
        </is>
      </c>
    </row>
    <row r="44">
      <c r="A44" s="4" t="inlineStr">
        <is>
          <t>المنافذ</t>
        </is>
      </c>
      <c r="B44" s="4" t="inlineStr">
        <is>
          <t>RS-232, USB, Ethernet</t>
        </is>
      </c>
      <c r="C44" s="4" t="inlineStr"/>
      <c r="D44" s="4" t="inlineStr"/>
    </row>
    <row r="45" ht="5" customHeight="1">
      <c r="A45" s="4" t="inlineStr"/>
      <c r="B45" s="4" t="inlineStr"/>
      <c r="C45" s="4" t="inlineStr"/>
      <c r="D45" s="4" t="inlineStr"/>
    </row>
    <row r="46">
      <c r="A46" s="5" t="inlineStr">
        <is>
          <t>المواصفات الأخرى:</t>
        </is>
      </c>
      <c r="B46" s="4" t="inlineStr"/>
      <c r="C46" s="4" t="inlineStr"/>
      <c r="D46" s="4" t="inlineStr"/>
    </row>
    <row r="47">
      <c r="A47" s="4" t="inlineStr">
        <is>
          <t>المساحة المطلوبة</t>
        </is>
      </c>
      <c r="B47" s="4" t="inlineStr">
        <is>
          <t>أقل من 5</t>
        </is>
      </c>
      <c r="C47" s="4" t="inlineStr">
        <is>
          <t>متر مربع</t>
        </is>
      </c>
      <c r="D47" s="4" t="inlineStr">
        <is>
          <t>توفير المساحة</t>
        </is>
      </c>
    </row>
    <row r="48">
      <c r="A48" s="4" t="inlineStr">
        <is>
          <t>نظام التثبيت</t>
        </is>
      </c>
      <c r="B48" s="4" t="inlineStr">
        <is>
          <t>نيوماتيكي</t>
        </is>
      </c>
      <c r="C48" s="4" t="inlineStr"/>
      <c r="D48" s="4" t="inlineStr">
        <is>
          <t>Pneumatic Clamping</t>
        </is>
      </c>
    </row>
    <row r="49">
      <c r="A49" s="4" t="inlineStr">
        <is>
          <t>نظام السلامة</t>
        </is>
      </c>
      <c r="B49" s="4" t="inlineStr">
        <is>
          <t>غطاء صوتي + أجهزة أمان</t>
        </is>
      </c>
      <c r="C49" s="4" t="inlineStr"/>
      <c r="D49" s="4" t="inlineStr">
        <is>
          <t>مطابق للمعايير الدولية</t>
        </is>
      </c>
    </row>
    <row r="50">
      <c r="A50" s="4" t="inlineStr">
        <is>
          <t>التغذية التلقائية</t>
        </is>
      </c>
      <c r="B50" s="4" t="inlineStr">
        <is>
          <t>من اليمين أو اليسار</t>
        </is>
      </c>
      <c r="C50" s="4" t="inlineStr"/>
      <c r="D50" s="4" t="inlineStr">
        <is>
          <t>Automatic Infeed/Outfeed</t>
        </is>
      </c>
    </row>
    <row r="51" ht="5" customHeight="1">
      <c r="A51" s="4" t="inlineStr"/>
      <c r="B51" s="4" t="inlineStr"/>
      <c r="C51" s="4" t="inlineStr"/>
      <c r="D51" s="4" t="inlineStr"/>
    </row>
    <row r="52">
      <c r="A52" s="5" t="inlineStr">
        <is>
          <t>الإنتاجية المتوقعة:</t>
        </is>
      </c>
      <c r="B52" s="4" t="inlineStr"/>
      <c r="C52" s="4" t="inlineStr"/>
      <c r="D52" s="4" t="inlineStr"/>
    </row>
    <row r="53">
      <c r="A53" s="4" t="inlineStr">
        <is>
          <t>القطع البسيطة</t>
        </is>
      </c>
      <c r="B53" s="4" t="inlineStr">
        <is>
          <t>80-120</t>
        </is>
      </c>
      <c r="C53" s="4" t="inlineStr">
        <is>
          <t>قطعة/يوم</t>
        </is>
      </c>
      <c r="D53" s="4" t="inlineStr">
        <is>
          <t>حسب التعقيد</t>
        </is>
      </c>
    </row>
    <row r="54">
      <c r="A54" s="4" t="inlineStr">
        <is>
          <t>القطع المعقدة</t>
        </is>
      </c>
      <c r="B54" s="4" t="inlineStr">
        <is>
          <t>50-80</t>
        </is>
      </c>
      <c r="C54" s="4" t="inlineStr">
        <is>
          <t>قطعة/يوم</t>
        </is>
      </c>
      <c r="D54" s="4" t="inlineStr">
        <is>
          <t>حسب عدد التخريمات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35" customWidth="1" min="4" max="4"/>
  </cols>
  <sheetData>
    <row r="1">
      <c r="A1" s="1" t="inlineStr">
        <is>
          <t>ماكينات لصق الشريط (Edgebanding Machines)</t>
        </is>
      </c>
    </row>
    <row r="3">
      <c r="A3" s="6" t="inlineStr">
        <is>
          <t>ملاحظة: يرجى تحديد موديلات الماكينات الفعلية المتوفرة لديكم لإضافة المواصفات الدقيقة</t>
        </is>
      </c>
    </row>
    <row r="5">
      <c r="A5" s="7" t="inlineStr">
        <is>
          <t>المواصفة</t>
        </is>
      </c>
      <c r="B5" s="7" t="inlineStr">
        <is>
          <t>القيمة/الوصف</t>
        </is>
      </c>
      <c r="C5" s="7" t="inlineStr">
        <is>
          <t>الوحدة</t>
        </is>
      </c>
      <c r="D5" s="7" t="inlineStr">
        <is>
          <t>ملاحظات</t>
        </is>
      </c>
    </row>
    <row r="6" ht="5" customHeight="1">
      <c r="A6" s="5" t="inlineStr">
        <is>
          <t>الموديلات المحتملة من HOMAG:</t>
        </is>
      </c>
      <c r="B6" s="4" t="inlineStr"/>
      <c r="C6" s="4" t="inlineStr"/>
      <c r="D6" s="4" t="inlineStr"/>
    </row>
    <row r="7" ht="5" customHeight="1">
      <c r="A7" s="4" t="inlineStr"/>
      <c r="B7" s="4" t="inlineStr"/>
      <c r="C7" s="4" t="inlineStr"/>
      <c r="D7" s="4" t="inlineStr"/>
    </row>
    <row r="8">
      <c r="A8" s="4" t="inlineStr">
        <is>
          <t>1. EDGETEQ S-200</t>
        </is>
      </c>
      <c r="B8" s="4" t="inlineStr">
        <is>
          <t>ماكينة مدخلية</t>
        </is>
      </c>
      <c r="C8" s="4" t="inlineStr">
        <is>
          <t>8-11 م/دقيقة</t>
        </is>
      </c>
      <c r="D8" s="4" t="inlineStr">
        <is>
          <t>للورش الصغيرة</t>
        </is>
      </c>
    </row>
    <row r="9">
      <c r="A9" s="4" t="inlineStr">
        <is>
          <t>2. EDGETEQ S-240</t>
        </is>
      </c>
      <c r="B9" s="4" t="inlineStr">
        <is>
          <t>ماكينة متوسطة</t>
        </is>
      </c>
      <c r="C9" s="4" t="inlineStr">
        <is>
          <t>11 م/دقيقة</t>
        </is>
      </c>
      <c r="D9" s="4" t="inlineStr">
        <is>
          <t>مناسبة للإنتاج المتوسط</t>
        </is>
      </c>
    </row>
    <row r="10">
      <c r="A10" s="4" t="inlineStr">
        <is>
          <t>3. EDGETEQ S-300</t>
        </is>
      </c>
      <c r="B10" s="4" t="inlineStr">
        <is>
          <t>ماكينة متقدمة</t>
        </is>
      </c>
      <c r="C10" s="4" t="inlineStr">
        <is>
          <t>14 م/دقيقة</t>
        </is>
      </c>
      <c r="D10" s="4" t="inlineStr">
        <is>
          <t>للمتطلبات العالية</t>
        </is>
      </c>
    </row>
    <row r="11">
      <c r="A11" s="4" t="inlineStr">
        <is>
          <t>4. EDGETEQ S-380</t>
        </is>
      </c>
      <c r="B11" s="4" t="inlineStr">
        <is>
          <t>خط إنتاج متقدم</t>
        </is>
      </c>
      <c r="C11" s="4" t="inlineStr">
        <is>
          <t>8-20 م/دقيقة</t>
        </is>
      </c>
      <c r="D11" s="4" t="inlineStr">
        <is>
          <t>للإنتاج الصناعي</t>
        </is>
      </c>
    </row>
    <row r="12">
      <c r="A12" s="4" t="inlineStr">
        <is>
          <t>5. EDGETEQ S-500</t>
        </is>
      </c>
      <c r="B12" s="4" t="inlineStr">
        <is>
          <t>خط إنتاج احترافي</t>
        </is>
      </c>
      <c r="C12" s="4" t="inlineStr">
        <is>
          <t>16-35 م/دقيقة</t>
        </is>
      </c>
      <c r="D12" s="4" t="inlineStr">
        <is>
          <t>للإنتاج الكثيف</t>
        </is>
      </c>
    </row>
    <row r="13" ht="5" customHeight="1">
      <c r="A13" s="4" t="inlineStr"/>
      <c r="B13" s="4" t="inlineStr"/>
      <c r="C13" s="4" t="inlineStr"/>
      <c r="D13" s="4" t="inlineStr"/>
    </row>
    <row r="14" ht="5" customHeight="1">
      <c r="A14" s="5" t="inlineStr">
        <is>
          <t>المواصفات العامة:</t>
        </is>
      </c>
      <c r="B14" s="4" t="inlineStr"/>
      <c r="C14" s="4" t="inlineStr"/>
      <c r="D14" s="4" t="inlineStr"/>
    </row>
    <row r="15" ht="5" customHeight="1">
      <c r="A15" s="4" t="inlineStr"/>
      <c r="B15" s="4" t="inlineStr"/>
      <c r="C15" s="4" t="inlineStr"/>
      <c r="D15" s="4" t="inlineStr"/>
    </row>
    <row r="16" ht="5" customHeight="1">
      <c r="A16" s="4" t="inlineStr">
        <is>
          <t>سماكة الشريط المدعومة</t>
        </is>
      </c>
      <c r="B16" s="4" t="inlineStr">
        <is>
          <t>0.3 - 3 مم (عادي)</t>
        </is>
      </c>
      <c r="C16" s="4" t="inlineStr"/>
      <c r="D16" s="4" t="inlineStr">
        <is>
          <t>حتى 6-8 مم في بعض الموديلات</t>
        </is>
      </c>
    </row>
    <row r="17" ht="5" customHeight="1">
      <c r="A17" s="4" t="inlineStr">
        <is>
          <t>سماكة اللوح</t>
        </is>
      </c>
      <c r="B17" s="4" t="inlineStr">
        <is>
          <t>8 - 60 مم</t>
        </is>
      </c>
      <c r="C17" s="4" t="inlineStr"/>
      <c r="D17" s="4" t="inlineStr">
        <is>
          <t>حسب الموديل</t>
        </is>
      </c>
    </row>
    <row r="18" ht="5" customHeight="1">
      <c r="A18" s="4" t="inlineStr">
        <is>
          <t>أنواع اللاصق</t>
        </is>
      </c>
      <c r="B18" s="4" t="inlineStr">
        <is>
          <t>EVA, PUR, airTec</t>
        </is>
      </c>
      <c r="C18" s="4" t="inlineStr"/>
      <c r="D18" s="4" t="inlineStr">
        <is>
          <t>حسب التجهيز</t>
        </is>
      </c>
    </row>
    <row r="19" ht="5" customHeight="1">
      <c r="A19" s="4" t="inlineStr">
        <is>
          <t>نظام القص</t>
        </is>
      </c>
      <c r="B19" s="4" t="inlineStr">
        <is>
          <t>قص مستقيم + زوايا</t>
        </is>
      </c>
      <c r="C19" s="4" t="inlineStr"/>
      <c r="D19" s="4" t="inlineStr">
        <is>
          <t>Dual-motor snipping</t>
        </is>
      </c>
    </row>
    <row r="20" ht="5" customHeight="1">
      <c r="A20" s="4" t="inlineStr">
        <is>
          <t>وحدة التشذيب</t>
        </is>
      </c>
      <c r="B20" s="4" t="inlineStr">
        <is>
          <t>علوي + سفلي</t>
        </is>
      </c>
      <c r="C20" s="4" t="inlineStr"/>
      <c r="D20" s="4" t="inlineStr">
        <is>
          <t>Profile trimming</t>
        </is>
      </c>
    </row>
    <row r="21" ht="5" customHeight="1">
      <c r="A21" s="4" t="inlineStr">
        <is>
          <t>وحدة الكشط</t>
        </is>
      </c>
      <c r="B21" s="4" t="inlineStr">
        <is>
          <t>كشط اللاصق</t>
        </is>
      </c>
      <c r="C21" s="4" t="inlineStr"/>
      <c r="D21" s="4" t="inlineStr">
        <is>
          <t>Glue scraper</t>
        </is>
      </c>
    </row>
    <row r="22" ht="5" customHeight="1">
      <c r="A22" s="4" t="inlineStr">
        <is>
          <t>وحدة التلميع</t>
        </is>
      </c>
      <c r="B22" s="4" t="inlineStr">
        <is>
          <t>تلميع نهائي</t>
        </is>
      </c>
      <c r="C22" s="4" t="inlineStr"/>
      <c r="D22" s="4" t="inlineStr">
        <is>
          <t>Buffing unit</t>
        </is>
      </c>
    </row>
    <row r="23" ht="5" customHeight="1">
      <c r="A23" s="4" t="inlineStr"/>
      <c r="B23" s="4" t="inlineStr"/>
      <c r="C23" s="4" t="inlineStr"/>
      <c r="D23" s="4" t="inlineStr"/>
    </row>
    <row r="24" ht="5" customHeight="1">
      <c r="A24" s="5" t="inlineStr">
        <is>
          <t>نظام التحكم:</t>
        </is>
      </c>
      <c r="B24" s="4" t="inlineStr"/>
      <c r="C24" s="4" t="inlineStr"/>
      <c r="D24" s="4" t="inlineStr"/>
    </row>
    <row r="25" ht="5" customHeight="1">
      <c r="A25" s="4" t="inlineStr"/>
      <c r="B25" s="4" t="inlineStr"/>
      <c r="C25" s="4" t="inlineStr"/>
      <c r="D25" s="4" t="inlineStr"/>
    </row>
    <row r="26" ht="5" customHeight="1">
      <c r="A26" s="4" t="inlineStr">
        <is>
          <t>النظام</t>
        </is>
      </c>
      <c r="B26" s="4" t="inlineStr">
        <is>
          <t>woodCommander / powerTouch</t>
        </is>
      </c>
      <c r="C26" s="4" t="inlineStr"/>
      <c r="D26" s="4" t="inlineStr">
        <is>
          <t>HOMAG</t>
        </is>
      </c>
    </row>
    <row r="27" ht="5" customHeight="1">
      <c r="A27" s="4" t="inlineStr">
        <is>
          <t>الشاشة</t>
        </is>
      </c>
      <c r="B27" s="4" t="inlineStr">
        <is>
          <t>7-21 بوصة</t>
        </is>
      </c>
      <c r="C27" s="4" t="inlineStr"/>
      <c r="D27" s="4" t="inlineStr">
        <is>
          <t>شاشة لمس</t>
        </is>
      </c>
    </row>
    <row r="28" ht="5" customHeight="1">
      <c r="A28" s="4" t="inlineStr">
        <is>
          <t>البرامج المخزنة</t>
        </is>
      </c>
      <c r="B28" s="4" t="inlineStr">
        <is>
          <t>20 برنامج</t>
        </is>
      </c>
      <c r="C28" s="4" t="inlineStr"/>
      <c r="D28" s="4" t="inlineStr">
        <is>
          <t>للمرونة</t>
        </is>
      </c>
    </row>
    <row r="29" ht="5" customHeight="1">
      <c r="A29" s="4" t="inlineStr"/>
      <c r="B29" s="4" t="inlineStr"/>
      <c r="C29" s="4" t="inlineStr"/>
      <c r="D29" s="4" t="inlineStr"/>
    </row>
    <row r="30" ht="5" customHeight="1">
      <c r="A30" s="5" t="inlineStr">
        <is>
          <t>الإنتاجية:</t>
        </is>
      </c>
      <c r="B30" s="4" t="inlineStr"/>
      <c r="C30" s="4" t="inlineStr"/>
      <c r="D30" s="4" t="inlineStr"/>
    </row>
    <row r="31" ht="5" customHeight="1">
      <c r="A31" s="4" t="inlineStr"/>
      <c r="B31" s="4" t="inlineStr"/>
      <c r="C31" s="4" t="inlineStr"/>
      <c r="D31" s="4" t="inlineStr"/>
    </row>
    <row r="32" ht="5" customHeight="1">
      <c r="A32" s="4" t="inlineStr">
        <is>
          <t>الموديلات الصغيرة</t>
        </is>
      </c>
      <c r="B32" s="4" t="inlineStr">
        <is>
          <t>100-150</t>
        </is>
      </c>
      <c r="C32" s="4" t="inlineStr">
        <is>
          <t>متر خطي/يوم</t>
        </is>
      </c>
      <c r="D32" s="4" t="inlineStr"/>
    </row>
    <row r="33" ht="5" customHeight="1">
      <c r="A33" s="4" t="inlineStr">
        <is>
          <t>الموديلات المتوسطة</t>
        </is>
      </c>
      <c r="B33" s="4" t="inlineStr">
        <is>
          <t>150-200</t>
        </is>
      </c>
      <c r="C33" s="4" t="inlineStr">
        <is>
          <t>متر خطي/يوم</t>
        </is>
      </c>
      <c r="D33" s="4" t="inlineStr"/>
    </row>
    <row r="34" ht="5" customHeight="1">
      <c r="A34" s="4" t="inlineStr">
        <is>
          <t>الموديلات الكبيرة</t>
        </is>
      </c>
      <c r="B34" s="4" t="inlineStr">
        <is>
          <t>200-300+</t>
        </is>
      </c>
      <c r="C34" s="4" t="inlineStr">
        <is>
          <t>متر خطي/يوم</t>
        </is>
      </c>
      <c r="D34" s="4" t="inlineStr"/>
    </row>
  </sheetData>
  <mergeCells count="2">
    <mergeCell ref="A1:D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35" customWidth="1" min="4" max="4"/>
  </cols>
  <sheetData>
    <row r="1">
      <c r="A1" s="1" t="inlineStr">
        <is>
          <t>ماكينات الراوتر (CNC Router Machines)</t>
        </is>
      </c>
    </row>
    <row r="3">
      <c r="A3" s="6" t="inlineStr">
        <is>
          <t>ملاحظة: يرجى تحديد موديلات ماكينات الراوتر الفعلية (3-Axis و 5-Axis)</t>
        </is>
      </c>
    </row>
    <row r="5">
      <c r="A5" s="7" t="inlineStr">
        <is>
          <t>المواصفة</t>
        </is>
      </c>
      <c r="B5" s="7" t="inlineStr">
        <is>
          <t>القيمة/الوصف</t>
        </is>
      </c>
      <c r="C5" s="7" t="inlineStr">
        <is>
          <t>الوحدة</t>
        </is>
      </c>
      <c r="D5" s="7" t="inlineStr">
        <is>
          <t>ملاحظات</t>
        </is>
      </c>
    </row>
    <row r="6" ht="5" customHeight="1">
      <c r="A6" s="4" t="inlineStr">
        <is>
          <t>نوع الماكينة</t>
        </is>
      </c>
      <c r="B6" s="4" t="inlineStr">
        <is>
          <t>المواصفات العامة</t>
        </is>
      </c>
      <c r="C6" s="4" t="inlineStr"/>
      <c r="D6" s="4" t="inlineStr"/>
    </row>
    <row r="7" ht="5" customHeight="1">
      <c r="A7" s="4" t="inlineStr"/>
      <c r="B7" s="4" t="inlineStr"/>
      <c r="C7" s="4" t="inlineStr"/>
      <c r="D7" s="4" t="inlineStr"/>
    </row>
    <row r="8" ht="5" customHeight="1">
      <c r="A8" s="5" t="inlineStr">
        <is>
          <t>راوتر 3 محاور (Standard CNC Router):</t>
        </is>
      </c>
      <c r="B8" s="4" t="inlineStr"/>
      <c r="C8" s="4" t="inlineStr"/>
      <c r="D8" s="4" t="inlineStr"/>
    </row>
    <row r="9" ht="5" customHeight="1">
      <c r="A9" s="4" t="inlineStr"/>
      <c r="B9" s="4" t="inlineStr"/>
      <c r="C9" s="4" t="inlineStr"/>
      <c r="D9" s="4" t="inlineStr"/>
    </row>
    <row r="10" ht="5" customHeight="1">
      <c r="A10" s="4" t="inlineStr">
        <is>
          <t>المحاور</t>
        </is>
      </c>
      <c r="B10" s="4" t="inlineStr">
        <is>
          <t>X, Y, Z</t>
        </is>
      </c>
      <c r="C10" s="4" t="inlineStr"/>
      <c r="D10" s="4" t="inlineStr">
        <is>
          <t>3 محاور خطية</t>
        </is>
      </c>
    </row>
    <row r="11" ht="5" customHeight="1">
      <c r="A11" s="4" t="inlineStr">
        <is>
          <t>منطقة العمل النموذجية</t>
        </is>
      </c>
      <c r="B11" s="4" t="inlineStr">
        <is>
          <t>1200 x 2400 مم</t>
        </is>
      </c>
      <c r="C11" s="4" t="inlineStr"/>
      <c r="D11" s="4" t="inlineStr">
        <is>
          <t>حسب الموديل</t>
        </is>
      </c>
    </row>
    <row r="12" ht="5" customHeight="1">
      <c r="A12" s="4" t="inlineStr">
        <is>
          <t>المغزل</t>
        </is>
      </c>
      <c r="B12" s="4" t="inlineStr">
        <is>
          <t>3-9 كيلو وات</t>
        </is>
      </c>
      <c r="C12" s="4" t="inlineStr"/>
      <c r="D12" s="4" t="inlineStr">
        <is>
          <t>تبريد هوائي/مائي</t>
        </is>
      </c>
    </row>
    <row r="13" ht="5" customHeight="1">
      <c r="A13" s="4" t="inlineStr">
        <is>
          <t>سرعة الدوران</t>
        </is>
      </c>
      <c r="B13" s="4" t="inlineStr">
        <is>
          <t>18000-24000 RPM</t>
        </is>
      </c>
      <c r="C13" s="4" t="inlineStr"/>
      <c r="D13" s="4" t="inlineStr"/>
    </row>
    <row r="14" ht="5" customHeight="1">
      <c r="A14" s="4" t="inlineStr">
        <is>
          <t>نظام التحكم</t>
        </is>
      </c>
      <c r="B14" s="4" t="inlineStr">
        <is>
          <t>Syntec / Mach3 / DSP</t>
        </is>
      </c>
      <c r="C14" s="4" t="inlineStr"/>
      <c r="D14" s="4" t="inlineStr"/>
    </row>
    <row r="15" ht="5" customHeight="1">
      <c r="A15" s="4" t="inlineStr">
        <is>
          <t>الإنتاجية</t>
        </is>
      </c>
      <c r="B15" s="4" t="inlineStr">
        <is>
          <t>50-80 قطعة/يوم</t>
        </is>
      </c>
      <c r="C15" s="4" t="inlineStr"/>
      <c r="D15" s="4" t="inlineStr">
        <is>
          <t>للأعمال المتنوعة</t>
        </is>
      </c>
    </row>
    <row r="16" ht="5" customHeight="1">
      <c r="A16" s="4" t="inlineStr"/>
      <c r="B16" s="4" t="inlineStr"/>
      <c r="C16" s="4" t="inlineStr"/>
      <c r="D16" s="4" t="inlineStr"/>
    </row>
    <row r="17" ht="5" customHeight="1">
      <c r="A17" s="5" t="inlineStr">
        <is>
          <t>راوتر 5 محاور (5-Axis CNC Router):</t>
        </is>
      </c>
      <c r="B17" s="4" t="inlineStr"/>
      <c r="C17" s="4" t="inlineStr"/>
      <c r="D17" s="4" t="inlineStr"/>
    </row>
    <row r="18" ht="5" customHeight="1">
      <c r="A18" s="4" t="inlineStr"/>
      <c r="B18" s="4" t="inlineStr"/>
      <c r="C18" s="4" t="inlineStr"/>
      <c r="D18" s="4" t="inlineStr"/>
    </row>
    <row r="19" ht="5" customHeight="1">
      <c r="A19" s="4" t="inlineStr">
        <is>
          <t>المحاور</t>
        </is>
      </c>
      <c r="B19" s="4" t="inlineStr">
        <is>
          <t>X, Y, Z, A, C</t>
        </is>
      </c>
      <c r="C19" s="4" t="inlineStr"/>
      <c r="D19" s="4" t="inlineStr">
        <is>
          <t>3 خطية + 2 دورانية</t>
        </is>
      </c>
    </row>
    <row r="20" ht="5" customHeight="1">
      <c r="A20" s="4" t="inlineStr">
        <is>
          <t>منطقة العمل النموذجية</t>
        </is>
      </c>
      <c r="B20" s="4" t="inlineStr">
        <is>
          <t>1500 x 3000 x 800 مم</t>
        </is>
      </c>
      <c r="C20" s="4" t="inlineStr"/>
      <c r="D20" s="4" t="inlineStr">
        <is>
          <t>للتشغيل 5 محاور</t>
        </is>
      </c>
    </row>
    <row r="21" ht="5" customHeight="1">
      <c r="A21" s="4" t="inlineStr">
        <is>
          <t>رأس التشغيل</t>
        </is>
      </c>
      <c r="B21" s="4" t="inlineStr">
        <is>
          <t>H-Style أو Trunnion</t>
        </is>
      </c>
      <c r="C21" s="4" t="inlineStr"/>
      <c r="D21" s="4" t="inlineStr">
        <is>
          <t>رأس إيطالي عادة</t>
        </is>
      </c>
    </row>
    <row r="22" ht="5" customHeight="1">
      <c r="A22" s="4" t="inlineStr">
        <is>
          <t>المغزل</t>
        </is>
      </c>
      <c r="B22" s="4" t="inlineStr">
        <is>
          <t>9-15 كيلو وات</t>
        </is>
      </c>
      <c r="C22" s="4" t="inlineStr"/>
      <c r="D22" s="4" t="inlineStr">
        <is>
          <t>ATC (تغيير أداة تلقائي)</t>
        </is>
      </c>
    </row>
    <row r="23" ht="5" customHeight="1">
      <c r="A23" s="4" t="inlineStr">
        <is>
          <t>سرعة الدوران</t>
        </is>
      </c>
      <c r="B23" s="4" t="inlineStr">
        <is>
          <t>6000-24000 RPM</t>
        </is>
      </c>
      <c r="C23" s="4" t="inlineStr"/>
      <c r="D23" s="4" t="inlineStr">
        <is>
          <t>متغيرة</t>
        </is>
      </c>
    </row>
    <row r="24" ht="5" customHeight="1">
      <c r="A24" s="4" t="inlineStr">
        <is>
          <t>عدد الأدوات</t>
        </is>
      </c>
      <c r="B24" s="4" t="inlineStr">
        <is>
          <t>8-12 أداة</t>
        </is>
      </c>
      <c r="C24" s="4" t="inlineStr"/>
      <c r="D24" s="4" t="inlineStr">
        <is>
          <t>في مغير الأدوات</t>
        </is>
      </c>
    </row>
    <row r="25" ht="5" customHeight="1">
      <c r="A25" s="4" t="inlineStr"/>
      <c r="B25" s="4" t="inlineStr"/>
      <c r="C25" s="4" t="inlineStr"/>
      <c r="D25" s="4" t="inlineStr"/>
    </row>
    <row r="26" ht="5" customHeight="1">
      <c r="A26" s="5" t="inlineStr">
        <is>
          <t>المميزات الخاصة للـ 5-Axis:</t>
        </is>
      </c>
      <c r="B26" s="4" t="inlineStr"/>
      <c r="C26" s="4" t="inlineStr"/>
      <c r="D26" s="4" t="inlineStr"/>
    </row>
    <row r="27" ht="5" customHeight="1">
      <c r="A27" s="4" t="inlineStr"/>
      <c r="B27" s="4" t="inlineStr"/>
      <c r="C27" s="4" t="inlineStr"/>
      <c r="D27" s="4" t="inlineStr"/>
    </row>
    <row r="28" ht="5" customHeight="1">
      <c r="A28" s="4" t="inlineStr">
        <is>
          <t>تشغيل 5 وجوه</t>
        </is>
      </c>
      <c r="B28" s="4" t="inlineStr">
        <is>
          <t>في عملية واحدة</t>
        </is>
      </c>
      <c r="C28" s="4" t="inlineStr"/>
      <c r="D28" s="4" t="inlineStr">
        <is>
          <t>بدون إعادة ضبط</t>
        </is>
      </c>
    </row>
    <row r="29" ht="5" customHeight="1">
      <c r="A29" s="4" t="inlineStr">
        <is>
          <t>الأشكال ثلاثية الأبعاد</t>
        </is>
      </c>
      <c r="B29" s="4" t="inlineStr">
        <is>
          <t>منحنيات معقدة</t>
        </is>
      </c>
      <c r="C29" s="4" t="inlineStr"/>
      <c r="D29" s="4" t="inlineStr">
        <is>
          <t>لا يمكن للـ 3-Axis</t>
        </is>
      </c>
    </row>
    <row r="30" ht="5" customHeight="1">
      <c r="A30" s="4" t="inlineStr">
        <is>
          <t>تفتيح كوالين الأبواب</t>
        </is>
      </c>
      <c r="B30" s="4" t="inlineStr">
        <is>
          <t>بدقة عالية</t>
        </is>
      </c>
      <c r="C30" s="4" t="inlineStr"/>
      <c r="D30" s="4" t="inlineStr">
        <is>
          <t>أعمال خاصة</t>
        </is>
      </c>
    </row>
    <row r="31" ht="5" customHeight="1">
      <c r="A31" s="4" t="inlineStr">
        <is>
          <t>قوالب الفوم</t>
        </is>
      </c>
      <c r="B31" s="4" t="inlineStr">
        <is>
          <t>للقوالب الكبيرة</t>
        </is>
      </c>
      <c r="C31" s="4" t="inlineStr"/>
      <c r="D31" s="4" t="inlineStr"/>
    </row>
    <row r="32" ht="5" customHeight="1">
      <c r="A32" s="4" t="inlineStr">
        <is>
          <t>الدقة</t>
        </is>
      </c>
      <c r="B32" s="4" t="inlineStr">
        <is>
          <t>±0.05 - ±0.2 مم</t>
        </is>
      </c>
      <c r="C32" s="4" t="inlineStr"/>
      <c r="D32" s="4" t="inlineStr">
        <is>
          <t>حسب الجودة</t>
        </is>
      </c>
    </row>
    <row r="33" ht="5" customHeight="1">
      <c r="A33" s="4" t="inlineStr"/>
      <c r="B33" s="4" t="inlineStr"/>
      <c r="C33" s="4" t="inlineStr"/>
      <c r="D33" s="4" t="inlineStr"/>
    </row>
    <row r="34" ht="5" customHeight="1">
      <c r="A34" s="5" t="inlineStr">
        <is>
          <t>الإنتاجية:</t>
        </is>
      </c>
      <c r="B34" s="4" t="inlineStr"/>
      <c r="C34" s="4" t="inlineStr"/>
      <c r="D34" s="4" t="inlineStr"/>
    </row>
    <row r="35" ht="5" customHeight="1">
      <c r="A35" s="4" t="inlineStr"/>
      <c r="B35" s="4" t="inlineStr"/>
      <c r="C35" s="4" t="inlineStr"/>
      <c r="D35" s="4" t="inlineStr"/>
    </row>
    <row r="36" ht="5" customHeight="1">
      <c r="A36" s="4" t="inlineStr">
        <is>
          <t>القطع البسيطة</t>
        </is>
      </c>
      <c r="B36" s="4" t="inlineStr">
        <is>
          <t>30-50 قطعة/يوم</t>
        </is>
      </c>
      <c r="C36" s="4" t="inlineStr"/>
      <c r="D36" s="4" t="inlineStr">
        <is>
          <t>حسب التعقيد</t>
        </is>
      </c>
    </row>
    <row r="37" ht="5" customHeight="1">
      <c r="A37" s="4" t="inlineStr">
        <is>
          <t>القطع المعقدة</t>
        </is>
      </c>
      <c r="B37" s="4" t="inlineStr">
        <is>
          <t>15-30 قطعة/يوم</t>
        </is>
      </c>
      <c r="C37" s="4" t="inlineStr"/>
      <c r="D37" s="4" t="inlineStr">
        <is>
          <t>أشكال 3D</t>
        </is>
      </c>
    </row>
    <row r="38" ht="5" customHeight="1">
      <c r="A38" s="4" t="inlineStr"/>
      <c r="B38" s="4" t="inlineStr"/>
      <c r="C38" s="4" t="inlineStr"/>
      <c r="D38" s="4" t="inlineStr"/>
    </row>
    <row r="39" ht="5" customHeight="1">
      <c r="A39" s="5" t="inlineStr">
        <is>
          <t>الموديلات المحتملة:</t>
        </is>
      </c>
      <c r="B39" s="4" t="inlineStr"/>
      <c r="C39" s="4" t="inlineStr"/>
      <c r="D39" s="4" t="inlineStr"/>
    </row>
    <row r="40" ht="5" customHeight="1">
      <c r="A40" s="4" t="inlineStr"/>
      <c r="B40" s="4" t="inlineStr"/>
      <c r="C40" s="4" t="inlineStr"/>
      <c r="D40" s="4" t="inlineStr"/>
    </row>
    <row r="41">
      <c r="A41" s="4" t="inlineStr">
        <is>
          <t>Laguna SmartShop 5-Axis</t>
        </is>
      </c>
      <c r="B41" s="4" t="inlineStr">
        <is>
          <t>فانوك 31i-B5</t>
        </is>
      </c>
      <c r="C41" s="4" t="inlineStr">
        <is>
          <t>8600 رطل</t>
        </is>
      </c>
      <c r="D41" s="4" t="inlineStr">
        <is>
          <t>إطار فولاذي</t>
        </is>
      </c>
    </row>
    <row r="42">
      <c r="A42" s="4" t="inlineStr">
        <is>
          <t>BCAM 5-Axis</t>
        </is>
      </c>
      <c r="B42" s="4" t="inlineStr">
        <is>
          <t>Syntec</t>
        </is>
      </c>
      <c r="C42" s="4" t="inlineStr">
        <is>
          <t>متنوعة</t>
        </is>
      </c>
      <c r="D42" s="4" t="inlineStr">
        <is>
          <t>اقتصادية</t>
        </is>
      </c>
    </row>
    <row r="43">
      <c r="A43" s="4" t="inlineStr">
        <is>
          <t>OMNI 5-Axis</t>
        </is>
      </c>
      <c r="B43" s="4" t="inlineStr">
        <is>
          <t>حسب الطلب</t>
        </is>
      </c>
      <c r="C43" s="4" t="inlineStr">
        <is>
          <t>صناعية</t>
        </is>
      </c>
      <c r="D43" s="4" t="inlineStr">
        <is>
          <t>عالية الدقة</t>
        </is>
      </c>
    </row>
    <row r="44">
      <c r="A44" s="4" t="inlineStr">
        <is>
          <t>FORSUN 5-Axis</t>
        </is>
      </c>
      <c r="B44" s="4" t="inlineStr">
        <is>
          <t>RTCP Function</t>
        </is>
      </c>
      <c r="C44" s="4" t="inlineStr">
        <is>
          <t>متنوعة</t>
        </is>
      </c>
      <c r="D44" s="4" t="inlineStr">
        <is>
          <t>للأسطح المعقدة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35" customWidth="1" min="4" max="4"/>
    <col width="20" customWidth="1" min="5" max="5"/>
  </cols>
  <sheetData>
    <row r="1">
      <c r="A1" s="1" t="inlineStr">
        <is>
          <t>تحليل العائد على الاستثمار (ROI Analysis)</t>
        </is>
      </c>
    </row>
    <row r="3">
      <c r="A3" s="8" t="inlineStr">
        <is>
          <t>ما هو ROI؟</t>
        </is>
      </c>
    </row>
    <row r="4">
      <c r="A4" s="9" t="inlineStr">
        <is>
          <t>ROI (Return on Investment) أو العائد على الاستثمار هو مقياس مالي يستخدم لتقييم كفاءة الاستثمار.</t>
        </is>
      </c>
    </row>
    <row r="5">
      <c r="A5" s="9" t="inlineStr">
        <is>
          <t>يحسب ROI النسبة بين صافي الربح والتكلفة الإجمالية للاستثمار.</t>
        </is>
      </c>
    </row>
    <row r="6">
      <c r="A6" s="9" t="inlineStr"/>
    </row>
    <row r="7">
      <c r="A7" s="10" t="inlineStr">
        <is>
          <t>الصيغة الأساسية:</t>
        </is>
      </c>
    </row>
    <row r="8">
      <c r="A8" s="9" t="inlineStr">
        <is>
          <t>ROI = ((العائد من الاستثمار - تكلفة الاستثمار) / تكلفة الاستثمار) × 100%</t>
        </is>
      </c>
    </row>
    <row r="9">
      <c r="A9" s="9" t="inlineStr"/>
    </row>
    <row r="10">
      <c r="A10" s="10" t="inlineStr">
        <is>
          <t>مثال بسيط:</t>
        </is>
      </c>
    </row>
    <row r="11">
      <c r="A11" s="11" t="inlineStr">
        <is>
          <t>• إذا استثمرت 100,000 جنيه في ماكينة</t>
        </is>
      </c>
    </row>
    <row r="12">
      <c r="A12" s="11" t="inlineStr">
        <is>
          <t>• وحققت أرباح صافية 30,000 جنيه سنوياً</t>
        </is>
      </c>
    </row>
    <row r="13">
      <c r="A13" s="11" t="inlineStr">
        <is>
          <t>• ROI = ((130,000 - 100,000) / 100,000) × 100% = 30%</t>
        </is>
      </c>
    </row>
    <row r="14">
      <c r="A14" s="11" t="inlineStr">
        <is>
          <t>• فترة الاسترداد = 100,000 / 30,000 = 3.3 سنة</t>
        </is>
      </c>
    </row>
    <row r="17">
      <c r="A17" s="2" t="inlineStr">
        <is>
          <t>نموذج حساب ROI للماكينات</t>
        </is>
      </c>
    </row>
    <row r="18">
      <c r="A18" s="12" t="inlineStr">
        <is>
          <t>البند</t>
        </is>
      </c>
      <c r="B18" s="12" t="inlineStr">
        <is>
          <t>القيمة</t>
        </is>
      </c>
      <c r="C18" s="12" t="inlineStr">
        <is>
          <t>الوحدة</t>
        </is>
      </c>
      <c r="D18" s="12" t="inlineStr">
        <is>
          <t>الصيغة/الملاحظات</t>
        </is>
      </c>
      <c r="E18" s="12" t="inlineStr">
        <is>
          <t>مثال</t>
        </is>
      </c>
    </row>
    <row r="19">
      <c r="A19" s="13" t="inlineStr">
        <is>
          <t>التكاليف الأولية:</t>
        </is>
      </c>
      <c r="B19" s="4" t="n"/>
      <c r="C19" s="4" t="n"/>
      <c r="D19" s="4" t="n"/>
      <c r="E19" s="14" t="n"/>
    </row>
    <row r="20">
      <c r="A20" s="4" t="inlineStr">
        <is>
          <t>سعر الماكينة</t>
        </is>
      </c>
      <c r="B20" s="4" t="n"/>
      <c r="C20" s="4" t="inlineStr">
        <is>
          <t>جنيه</t>
        </is>
      </c>
      <c r="D20" s="4" t="inlineStr">
        <is>
          <t>أدخل السعر</t>
        </is>
      </c>
      <c r="E20" s="14" t="inlineStr">
        <is>
          <t>500,000</t>
        </is>
      </c>
    </row>
    <row r="21">
      <c r="A21" s="4" t="inlineStr">
        <is>
          <t>تكاليف التركيب والنقل</t>
        </is>
      </c>
      <c r="B21" s="4" t="n"/>
      <c r="C21" s="4" t="inlineStr">
        <is>
          <t>جنيه</t>
        </is>
      </c>
      <c r="D21" s="4" t="inlineStr">
        <is>
          <t>عادة 5-10% من السعر</t>
        </is>
      </c>
      <c r="E21" s="14" t="inlineStr">
        <is>
          <t>30,000</t>
        </is>
      </c>
    </row>
    <row r="22">
      <c r="A22" s="4" t="inlineStr">
        <is>
          <t>تكاليف التدريب</t>
        </is>
      </c>
      <c r="B22" s="4" t="n"/>
      <c r="C22" s="4" t="inlineStr">
        <is>
          <t>جنيه</t>
        </is>
      </c>
      <c r="D22" s="4" t="inlineStr">
        <is>
          <t>تدريب الفنيين</t>
        </is>
      </c>
      <c r="E22" s="14" t="inlineStr">
        <is>
          <t>20,000</t>
        </is>
      </c>
    </row>
    <row r="23">
      <c r="A23" s="15" t="inlineStr">
        <is>
          <t>إجمالي التكلفة الأولية</t>
        </is>
      </c>
      <c r="B23" s="4">
        <f>B20+B21+B22</f>
        <v/>
      </c>
      <c r="C23" s="4" t="inlineStr">
        <is>
          <t>جنيه</t>
        </is>
      </c>
      <c r="D23" s="4" t="inlineStr">
        <is>
          <t>مجموع التكاليف</t>
        </is>
      </c>
      <c r="E23" s="14" t="inlineStr">
        <is>
          <t>550,000</t>
        </is>
      </c>
    </row>
    <row r="24">
      <c r="A24" s="4" t="n"/>
      <c r="B24" s="4" t="n"/>
      <c r="C24" s="4" t="n"/>
      <c r="D24" s="4" t="n"/>
      <c r="E24" s="14" t="n"/>
    </row>
    <row r="25">
      <c r="A25" s="13" t="inlineStr">
        <is>
          <t>الإيرادات السنوية المتوقعة:</t>
        </is>
      </c>
      <c r="B25" s="4" t="n"/>
      <c r="C25" s="4" t="n"/>
      <c r="D25" s="4" t="n"/>
      <c r="E25" s="14" t="n"/>
    </row>
    <row r="26">
      <c r="A26" s="4" t="inlineStr">
        <is>
          <t>زيادة الإنتاج (قطعة/يوم)</t>
        </is>
      </c>
      <c r="B26" s="4" t="n"/>
      <c r="C26" s="4" t="inlineStr">
        <is>
          <t>قطعة</t>
        </is>
      </c>
      <c r="D26" s="4" t="inlineStr">
        <is>
          <t>بفضل الماكينة الجديدة</t>
        </is>
      </c>
      <c r="E26" s="14" t="inlineStr">
        <is>
          <t>50</t>
        </is>
      </c>
    </row>
    <row r="27">
      <c r="A27" s="4" t="inlineStr">
        <is>
          <t>أيام العمل السنوية</t>
        </is>
      </c>
      <c r="B27" s="16" t="inlineStr">
        <is>
          <t>300</t>
        </is>
      </c>
      <c r="C27" s="4" t="inlineStr">
        <is>
          <t>يوم</t>
        </is>
      </c>
      <c r="D27" s="4" t="inlineStr">
        <is>
          <t>عادة 300 يوم</t>
        </is>
      </c>
      <c r="E27" s="14" t="inlineStr">
        <is>
          <t>300</t>
        </is>
      </c>
    </row>
    <row r="28">
      <c r="A28" s="4" t="inlineStr">
        <is>
          <t>إجمالي القطع الإضافية سنوياً</t>
        </is>
      </c>
      <c r="B28" s="4">
        <f>B26*B27</f>
        <v/>
      </c>
      <c r="C28" s="4" t="inlineStr">
        <is>
          <t>قطعة</t>
        </is>
      </c>
      <c r="D28" s="4" t="inlineStr">
        <is>
          <t>القطع × الأيام</t>
        </is>
      </c>
      <c r="E28" s="14" t="inlineStr">
        <is>
          <t>15,000</t>
        </is>
      </c>
    </row>
    <row r="29">
      <c r="A29" s="4" t="inlineStr">
        <is>
          <t>متوسط الربح لكل قطعة</t>
        </is>
      </c>
      <c r="B29" s="4" t="n"/>
      <c r="C29" s="4" t="inlineStr">
        <is>
          <t>جنيه</t>
        </is>
      </c>
      <c r="D29" s="4" t="inlineStr">
        <is>
          <t>صافي الربح بعد التكاليف</t>
        </is>
      </c>
      <c r="E29" s="14" t="inlineStr">
        <is>
          <t>15</t>
        </is>
      </c>
    </row>
    <row r="30">
      <c r="A30" s="15" t="inlineStr">
        <is>
          <t>إجمالي الإيرادات الإضافية</t>
        </is>
      </c>
      <c r="B30" s="4">
        <f>B28*B29</f>
        <v/>
      </c>
      <c r="C30" s="4" t="inlineStr">
        <is>
          <t>جنيه/سنة</t>
        </is>
      </c>
      <c r="D30" s="4" t="inlineStr">
        <is>
          <t>القطع × الربح</t>
        </is>
      </c>
      <c r="E30" s="14" t="inlineStr">
        <is>
          <t>225,000</t>
        </is>
      </c>
    </row>
    <row r="31">
      <c r="A31" s="4" t="n"/>
      <c r="B31" s="4" t="n"/>
      <c r="C31" s="4" t="n"/>
      <c r="D31" s="4" t="n"/>
      <c r="E31" s="14" t="n"/>
    </row>
    <row r="32">
      <c r="A32" s="13" t="inlineStr">
        <is>
          <t>التكاليف التشغيلية السنوية:</t>
        </is>
      </c>
      <c r="B32" s="4" t="n"/>
      <c r="C32" s="4" t="n"/>
      <c r="D32" s="4" t="n"/>
      <c r="E32" s="14" t="n"/>
    </row>
    <row r="33">
      <c r="A33" s="4" t="inlineStr">
        <is>
          <t>استهلاك الكهرباء</t>
        </is>
      </c>
      <c r="B33" s="4" t="n"/>
      <c r="C33" s="4" t="inlineStr">
        <is>
          <t>جنيه/سنة</t>
        </is>
      </c>
      <c r="D33" s="4" t="inlineStr">
        <is>
          <t>حسب الاستهلاك</t>
        </is>
      </c>
      <c r="E33" s="14" t="inlineStr">
        <is>
          <t>15,000</t>
        </is>
      </c>
    </row>
    <row r="34">
      <c r="A34" s="4" t="inlineStr">
        <is>
          <t>الصيانة الدورية</t>
        </is>
      </c>
      <c r="B34" s="4" t="n"/>
      <c r="C34" s="4" t="inlineStr">
        <is>
          <t>جنيه/سنة</t>
        </is>
      </c>
      <c r="D34" s="4" t="inlineStr">
        <is>
          <t>عادة 5% من سعر الماكينة</t>
        </is>
      </c>
      <c r="E34" s="14" t="inlineStr">
        <is>
          <t>25,000</t>
        </is>
      </c>
    </row>
    <row r="35">
      <c r="A35" s="4" t="inlineStr">
        <is>
          <t>قطع الغيار</t>
        </is>
      </c>
      <c r="B35" s="4" t="n"/>
      <c r="C35" s="4" t="inlineStr">
        <is>
          <t>جنيه/سنة</t>
        </is>
      </c>
      <c r="D35" s="4" t="inlineStr">
        <is>
          <t>تقدير سنوي</t>
        </is>
      </c>
      <c r="E35" s="14" t="inlineStr">
        <is>
          <t>10,000</t>
        </is>
      </c>
    </row>
    <row r="36">
      <c r="A36" s="4" t="inlineStr">
        <is>
          <t>رواتب العمالة الإضافية</t>
        </is>
      </c>
      <c r="B36" s="4" t="n"/>
      <c r="C36" s="4" t="inlineStr">
        <is>
          <t>جنيه/سنة</t>
        </is>
      </c>
      <c r="D36" s="4" t="inlineStr">
        <is>
          <t>إذا لزم الأمر</t>
        </is>
      </c>
      <c r="E36" s="14" t="inlineStr">
        <is>
          <t>60,000</t>
        </is>
      </c>
    </row>
    <row r="37">
      <c r="A37" s="15" t="inlineStr">
        <is>
          <t>إجمالي التكاليف التشغيلية</t>
        </is>
      </c>
      <c r="B37" s="4">
        <f>B33+B34+B35+B36</f>
        <v/>
      </c>
      <c r="C37" s="4" t="inlineStr">
        <is>
          <t>جنيه/سنة</t>
        </is>
      </c>
      <c r="D37" s="4" t="inlineStr">
        <is>
          <t>مجموع التكاليف</t>
        </is>
      </c>
      <c r="E37" s="14" t="inlineStr">
        <is>
          <t>110,000</t>
        </is>
      </c>
    </row>
    <row r="38">
      <c r="A38" s="4" t="n"/>
      <c r="B38" s="4" t="n"/>
      <c r="C38" s="4" t="n"/>
      <c r="D38" s="4" t="n"/>
      <c r="E38" s="14" t="n"/>
    </row>
    <row r="39">
      <c r="A39" s="13" t="inlineStr">
        <is>
          <t>الحسابات النهائية:</t>
        </is>
      </c>
      <c r="B39" s="4" t="n"/>
      <c r="C39" s="4" t="n"/>
      <c r="D39" s="4" t="n"/>
      <c r="E39" s="14" t="n"/>
    </row>
    <row r="40">
      <c r="A40" s="15" t="inlineStr">
        <is>
          <t>صافي الإيرادات السنوية</t>
        </is>
      </c>
      <c r="B40" s="4">
        <f>B30-B37</f>
        <v/>
      </c>
      <c r="C40" s="4" t="inlineStr">
        <is>
          <t>جنيه/سنة</t>
        </is>
      </c>
      <c r="D40" s="4" t="inlineStr">
        <is>
          <t>الإيرادات - التكاليف التشغيلية</t>
        </is>
      </c>
      <c r="E40" s="14" t="inlineStr">
        <is>
          <t>115,000</t>
        </is>
      </c>
    </row>
    <row r="41">
      <c r="A41" s="17" t="inlineStr">
        <is>
          <t>ROI السنوي</t>
        </is>
      </c>
      <c r="B41" s="18">
        <f>B40/B23</f>
        <v/>
      </c>
      <c r="C41" s="4" t="inlineStr">
        <is>
          <t>%</t>
        </is>
      </c>
      <c r="D41" s="4" t="inlineStr">
        <is>
          <t>(صافي الإيرادات / التكلفة الأولية)</t>
        </is>
      </c>
      <c r="E41" s="14" t="inlineStr">
        <is>
          <t>20.9%</t>
        </is>
      </c>
    </row>
    <row r="42">
      <c r="A42" s="17" t="inlineStr">
        <is>
          <t>فترة الاسترداد</t>
        </is>
      </c>
      <c r="B42" s="19">
        <f>B23/B40</f>
        <v/>
      </c>
      <c r="C42" s="4" t="inlineStr">
        <is>
          <t>سنة</t>
        </is>
      </c>
      <c r="D42" s="4" t="inlineStr">
        <is>
          <t>التكلفة الأولية / صافي الإيرادات</t>
        </is>
      </c>
      <c r="E42" s="14" t="inlineStr">
        <is>
          <t>4.8</t>
        </is>
      </c>
    </row>
    <row r="43">
      <c r="A43" s="4" t="n"/>
      <c r="B43" s="4" t="n"/>
      <c r="C43" s="4" t="n"/>
      <c r="D43" s="4" t="n"/>
      <c r="E43" s="14" t="n"/>
    </row>
    <row r="44">
      <c r="A44" s="13" t="inlineStr">
        <is>
          <t>التقييم:</t>
        </is>
      </c>
      <c r="B44" s="4" t="n"/>
      <c r="C44" s="4" t="n"/>
      <c r="D44" s="4" t="n"/>
      <c r="E44" s="14" t="n"/>
    </row>
    <row r="45">
      <c r="A45" s="15" t="inlineStr">
        <is>
          <t>الحكم</t>
        </is>
      </c>
      <c r="B45" s="20">
        <f>IF(B41&gt;0.15,"استثمار ممتاز",IF(B41&gt;0.10,"استثمار جيد",IF(B41&gt;0.05,"استثمار مقبول","استثمار ضعيف")))</f>
        <v/>
      </c>
      <c r="C45" s="4" t="n"/>
      <c r="D45" s="4" t="inlineStr">
        <is>
          <t>تقييم تلقائي</t>
        </is>
      </c>
      <c r="E45" s="14" t="inlineStr">
        <is>
          <t>استثمار ممتاز</t>
        </is>
      </c>
    </row>
  </sheetData>
  <mergeCells count="14">
    <mergeCell ref="A12:E12"/>
    <mergeCell ref="A4:E4"/>
    <mergeCell ref="A14:E14"/>
    <mergeCell ref="A7:E7"/>
    <mergeCell ref="A10:E10"/>
    <mergeCell ref="A11:E11"/>
    <mergeCell ref="A1:E1"/>
    <mergeCell ref="A5:E5"/>
    <mergeCell ref="A13:E13"/>
    <mergeCell ref="A8:E8"/>
    <mergeCell ref="A6:E6"/>
    <mergeCell ref="A17:E17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2026-01-30T12:47:52Z</dcterms:created>
  <dcterms:modified xmlns:dcterms="http://purl.org/dc/terms/" xmlns:xsi="http://www.w3.org/2001/XMLSchema-instance" xsi:type="dcterms:W3CDTF">2026-01-30T12:49:59Z</dcterms:modified>
</cp:coreProperties>
</file>
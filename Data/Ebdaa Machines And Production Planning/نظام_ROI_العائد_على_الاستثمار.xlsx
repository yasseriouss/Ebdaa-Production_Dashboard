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شرح ROI" sheetId="1" state="visible" r:id="rId3"/>
    <sheet name="حاسبة ROI" sheetId="2" state="visible" r:id="rId4"/>
    <sheet name="مقارنة الاستثمارا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<sst xmlns="http://schemas.openxmlformats.org/spreadsheetml/2006/main" count="76" uniqueCount="73">
  <si>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العائد على الاستثمار (ROI) - Return on Investment</t>
  </si>
  <si>
    <t xml:space="preserve">ما هو ROI؟</t>
  </si>
  <si>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هو مؤشر مالي يقيس مدى ربحية استثمار معين. يوضح كم دولار أو جنيه تحصل عليه مقابل كل دولار أو جنيه تنفقه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FreeSans"/>
        <family val="2"/>
      </rPr>
      <t xml:space="preserve">يستخدم لتقييم كفاءة الاستثمارات المختلفة واتخاذ قرارات مالية صحيحة</t>
    </r>
    <r>
      <rPr>
        <sz val="11"/>
        <color theme="1"/>
        <rFont val="Calibri"/>
        <family val="2"/>
        <charset val="1"/>
      </rPr>
      <t xml:space="preserve">.</t>
    </r>
  </si>
  <si>
    <t xml:space="preserve">صيغة حساب ROI</t>
  </si>
  <si>
    <t xml:space="preserve">ROI = [(العائد من الاستثمار - تكلفة الاستثمار) ÷ تكلفة الاستثمار] × 100</t>
  </si>
  <si>
    <t xml:space="preserve">أو ببساطة: ROI = [(الربح الصافي) ÷ التكلفة] × 100</t>
  </si>
  <si>
    <t xml:space="preserve">مثال عملي من المصنع</t>
  </si>
  <si>
    <t xml:space="preserve">البند</t>
  </si>
  <si>
    <t xml:space="preserve">القيمة</t>
  </si>
  <si>
    <t xml:space="preserve">ملاحظات</t>
  </si>
  <si>
    <r>
      <rPr>
        <sz val="11"/>
        <color theme="1"/>
        <rFont val="FreeSans"/>
        <family val="2"/>
      </rPr>
      <t xml:space="preserve">تكلفة شراء ماكينة </t>
    </r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FreeSans"/>
        <family val="2"/>
      </rPr>
      <t xml:space="preserve">جديدة</t>
    </r>
  </si>
  <si>
    <t xml:space="preserve">500,000</t>
  </si>
  <si>
    <t xml:space="preserve">الاستثمار الأولي</t>
  </si>
  <si>
    <t xml:space="preserve">تكلفة التركيب والتدريب</t>
  </si>
  <si>
    <t xml:space="preserve">50,000</t>
  </si>
  <si>
    <t xml:space="preserve">تكاليف إضافية</t>
  </si>
  <si>
    <t xml:space="preserve">إجمالي الاستثمار</t>
  </si>
  <si>
    <t xml:space="preserve">التكلفة الكلية</t>
  </si>
  <si>
    <t xml:space="preserve">زيادة الإنتاج السنوي</t>
  </si>
  <si>
    <t xml:space="preserve">200,000</t>
  </si>
  <si>
    <t xml:space="preserve">إيرادات إضافية</t>
  </si>
  <si>
    <t xml:space="preserve">توفير في تكاليف التشغيل</t>
  </si>
  <si>
    <t xml:space="preserve">80,000</t>
  </si>
  <si>
    <r>
      <rPr>
        <sz val="11"/>
        <color theme="1"/>
        <rFont val="FreeSans"/>
        <family val="2"/>
      </rPr>
      <t xml:space="preserve">تقليل هدر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وقت</t>
    </r>
  </si>
  <si>
    <t xml:space="preserve">إجمالي العائد السنوي</t>
  </si>
  <si>
    <t xml:space="preserve">الفوائد الكلية</t>
  </si>
  <si>
    <t xml:space="preserve">الربح الصافي السنوي</t>
  </si>
  <si>
    <r>
      <rPr>
        <sz val="11"/>
        <color theme="1"/>
        <rFont val="FreeSans"/>
        <family val="2"/>
      </rPr>
      <t xml:space="preserve">العائد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التكلفة</t>
    </r>
  </si>
  <si>
    <t xml:space="preserve">ROI %</t>
  </si>
  <si>
    <t xml:space="preserve">العائد على الاستثمار</t>
  </si>
  <si>
    <r>
      <rPr>
        <sz val="11"/>
        <color theme="1"/>
        <rFont val="FreeSans"/>
        <family val="2"/>
      </rPr>
      <t xml:space="preserve">فترة الاسترداد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سنوات</t>
    </r>
    <r>
      <rPr>
        <sz val="11"/>
        <color theme="1"/>
        <rFont val="Calibri"/>
        <family val="2"/>
        <charset val="1"/>
      </rPr>
      <t xml:space="preserve">)</t>
    </r>
  </si>
  <si>
    <t xml:space="preserve">متى نسترد المبلغ؟</t>
  </si>
  <si>
    <t xml:space="preserve">كيف نفسر النتائج؟</t>
  </si>
  <si>
    <t xml:space="preserve">قيمة ROI</t>
  </si>
  <si>
    <t xml:space="preserve">التفسير</t>
  </si>
  <si>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أكثر من </t>
    </r>
    <r>
      <rPr>
        <sz val="11"/>
        <color theme="1"/>
        <rFont val="Calibri"/>
        <family val="2"/>
        <charset val="1"/>
      </rPr>
      <t xml:space="preserve">50%</t>
    </r>
  </si>
  <si>
    <t xml:space="preserve">استثمار ممتاز جداً</t>
  </si>
  <si>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بين </t>
    </r>
    <r>
      <rPr>
        <sz val="11"/>
        <color theme="1"/>
        <rFont val="Calibri"/>
        <family val="2"/>
        <charset val="1"/>
      </rPr>
      <t xml:space="preserve">30% - 50%</t>
    </r>
  </si>
  <si>
    <t xml:space="preserve">استثمار جيد جداً</t>
  </si>
  <si>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بين </t>
    </r>
    <r>
      <rPr>
        <sz val="11"/>
        <color theme="1"/>
        <rFont val="Calibri"/>
        <family val="2"/>
        <charset val="1"/>
      </rPr>
      <t xml:space="preserve">15% - 30%</t>
    </r>
  </si>
  <si>
    <t xml:space="preserve">استثمار جيد ومقبول</t>
  </si>
  <si>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بين </t>
    </r>
    <r>
      <rPr>
        <sz val="11"/>
        <color theme="1"/>
        <rFont val="Calibri"/>
        <family val="2"/>
        <charset val="1"/>
      </rPr>
      <t xml:space="preserve">0% - 15%</t>
    </r>
  </si>
  <si>
    <t xml:space="preserve">استثمار ضعيف، يحتاج مراجعة</t>
  </si>
  <si>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سالب</t>
    </r>
  </si>
  <si>
    <r>
      <rPr>
        <sz val="11"/>
        <color theme="1"/>
        <rFont val="FreeSans"/>
        <family val="2"/>
      </rPr>
      <t xml:space="preserve">خسارة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لا ينصح بالاستثمار</t>
    </r>
  </si>
  <si>
    <t xml:space="preserve">حاسبة العائد على الاستثمار</t>
  </si>
  <si>
    <t xml:space="preserve">التكاليف (أدخل القيم باللون الأزرق)</t>
  </si>
  <si>
    <r>
      <rPr>
        <sz val="11"/>
        <color theme="1"/>
        <rFont val="FreeSans"/>
        <family val="2"/>
      </rPr>
      <t xml:space="preserve">تكلفة شراء الماكينة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المعدة</t>
    </r>
  </si>
  <si>
    <t xml:space="preserve">تكلفة الشحن والتركيب</t>
  </si>
  <si>
    <t xml:space="preserve">تكلفة التدريب</t>
  </si>
  <si>
    <t xml:space="preserve">تكاليف أخرى</t>
  </si>
  <si>
    <t xml:space="preserve">إجمالي التكاليف</t>
  </si>
  <si>
    <t xml:space="preserve">العوائد السنوية المتوقعة</t>
  </si>
  <si>
    <t xml:space="preserve">زيادة الإيرادات</t>
  </si>
  <si>
    <t xml:space="preserve">توفير في التكاليف التشغيلية</t>
  </si>
  <si>
    <r>
      <rPr>
        <sz val="11"/>
        <color theme="1"/>
        <rFont val="FreeSans"/>
        <family val="2"/>
      </rPr>
      <t xml:space="preserve">توفير في الوقت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بالقيمة المالية</t>
    </r>
    <r>
      <rPr>
        <sz val="11"/>
        <color theme="1"/>
        <rFont val="Calibri"/>
        <family val="2"/>
        <charset val="1"/>
      </rPr>
      <t xml:space="preserve">)</t>
    </r>
  </si>
  <si>
    <t xml:space="preserve">عوائد أخرى</t>
  </si>
  <si>
    <t xml:space="preserve">إجمالي العوائد السنوية</t>
  </si>
  <si>
    <t xml:space="preserve">النتائج</t>
  </si>
  <si>
    <r>
      <rPr>
        <sz val="11"/>
        <color theme="1"/>
        <rFont val="FreeSans"/>
        <family val="2"/>
      </rPr>
      <t xml:space="preserve">العائد على الاستثمار </t>
    </r>
    <r>
      <rPr>
        <sz val="11"/>
        <color theme="1"/>
        <rFont val="Calibri"/>
        <family val="2"/>
        <charset val="1"/>
      </rPr>
      <t xml:space="preserve">ROI %</t>
    </r>
  </si>
  <si>
    <r>
      <rPr>
        <sz val="11"/>
        <color theme="1"/>
        <rFont val="FreeSans"/>
        <family val="2"/>
      </rPr>
      <t xml:space="preserve">فترة استرداد رأس المال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سنوات</t>
    </r>
    <r>
      <rPr>
        <sz val="11"/>
        <color theme="1"/>
        <rFont val="Calibri"/>
        <family val="2"/>
        <charset val="1"/>
      </rPr>
      <t xml:space="preserve">)</t>
    </r>
  </si>
  <si>
    <t xml:space="preserve">التقييم</t>
  </si>
  <si>
    <t xml:space="preserve">مقارنة العائد على الاستثمار لمشاريع متعددة</t>
  </si>
  <si>
    <t xml:space="preserve">اسم المشروع/الاستثمار</t>
  </si>
  <si>
    <t xml:space="preserve">التكلفة الإجمالية</t>
  </si>
  <si>
    <t xml:space="preserve">العائد السنوي</t>
  </si>
  <si>
    <t xml:space="preserve">الربح الصافي</t>
  </si>
  <si>
    <t xml:space="preserve">فترة الاسترداد (سنوات)</t>
  </si>
  <si>
    <t xml:space="preserve">الأولوية</t>
  </si>
  <si>
    <r>
      <rPr>
        <sz val="11"/>
        <color theme="1"/>
        <rFont val="FreeSans"/>
        <family val="2"/>
      </rPr>
      <t xml:space="preserve">ماكينة </t>
    </r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FreeSans"/>
        <family val="2"/>
      </rPr>
      <t xml:space="preserve">جديدة</t>
    </r>
  </si>
  <si>
    <t xml:space="preserve">نظام إدارة الإنتاج</t>
  </si>
  <si>
    <t xml:space="preserve">توظيف فنيين إضافيين</t>
  </si>
  <si>
    <t xml:space="preserve">ماكينة لصق شريط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</si>
</sst>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\%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FreeSans"/>
      <family val="2"/>
    </font>
    <font>
      <b val="true"/>
      <sz val="12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2"/>
      <name val="Free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203764"/>
        <bgColor rgb="FF333333"/>
      </patternFill>
    </fill>
    <fill>
      <patternFill patternType="solid">
        <fgColor rgb="FF4472C4"/>
        <bgColor rgb="FF366092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366092"/>
        <bgColor rgb="FF4472C4"/>
      </patternFill>
    </fill>
    <fill>
      <patternFill patternType="solid">
        <fgColor rgb="FFD9E1F2"/>
        <bgColor rgb="FFE2EFDA"/>
      </patternFill>
    </fill>
    <fill>
      <patternFill patternType="solid">
        <fgColor rgb="FFFFC7CE"/>
        <bgColor rgb="FFD9E1F2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366092"/>
      <rgbColor rgb="FF70AD47"/>
      <rgbColor rgb="FF2037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5"/>
  </cols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4.75" hidden="false" customHeight="true" outlineLevel="0" collapsed="false">
      <c r="A5" s="3"/>
      <c r="B5" s="3"/>
      <c r="C5" s="3"/>
      <c r="D5" s="3"/>
      <c r="E5" s="3"/>
      <c r="F5" s="3"/>
    </row>
    <row r="6" customFormat="false" ht="24.75" hidden="false" customHeight="true" outlineLevel="0" collapsed="false">
      <c r="A6" s="3"/>
      <c r="B6" s="3"/>
      <c r="C6" s="3"/>
      <c r="D6" s="3"/>
      <c r="E6" s="3"/>
      <c r="F6" s="3"/>
    </row>
    <row r="8" customFormat="false" ht="17.15" hidden="false" customHeight="false" outlineLevel="0" collapsed="false">
      <c r="A8" s="4" t="s">
        <v>3</v>
      </c>
      <c r="B8" s="4"/>
      <c r="C8" s="4"/>
      <c r="D8" s="4"/>
      <c r="E8" s="4"/>
      <c r="F8" s="4"/>
    </row>
    <row r="9" customFormat="false" ht="30" hidden="false" customHeight="true" outlineLevel="0" collapsed="false">
      <c r="B9" s="5" t="s">
        <v>4</v>
      </c>
      <c r="C9" s="5"/>
      <c r="D9" s="5"/>
      <c r="E9" s="5"/>
    </row>
    <row r="10" customFormat="false" ht="24.75" hidden="false" customHeight="true" outlineLevel="0" collapsed="false">
      <c r="B10" s="6" t="s">
        <v>5</v>
      </c>
      <c r="C10" s="6"/>
      <c r="D10" s="6"/>
      <c r="E10" s="6"/>
    </row>
    <row r="12" customFormat="false" ht="17.35" hidden="false" customHeight="false" outlineLevel="0" collapsed="false">
      <c r="A12" s="7" t="s">
        <v>6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8" t="s">
        <v>7</v>
      </c>
      <c r="B13" s="8" t="s">
        <v>8</v>
      </c>
      <c r="C13" s="8" t="s">
        <v>9</v>
      </c>
    </row>
    <row r="14" customFormat="false" ht="15" hidden="false" customHeight="false" outlineLevel="0" collapsed="false">
      <c r="A14" s="9" t="s">
        <v>10</v>
      </c>
      <c r="B14" s="10" t="s">
        <v>11</v>
      </c>
      <c r="C14" s="9" t="s">
        <v>12</v>
      </c>
    </row>
    <row r="15" customFormat="false" ht="15" hidden="false" customHeight="false" outlineLevel="0" collapsed="false">
      <c r="A15" s="9" t="s">
        <v>13</v>
      </c>
      <c r="B15" s="10" t="s">
        <v>14</v>
      </c>
      <c r="C15" s="9" t="s">
        <v>15</v>
      </c>
    </row>
    <row r="16" customFormat="false" ht="15" hidden="false" customHeight="false" outlineLevel="0" collapsed="false">
      <c r="A16" s="11" t="s">
        <v>16</v>
      </c>
      <c r="B16" s="11" t="e">
        <f aca="false">B12+B13</f>
        <v>#VALUE!</v>
      </c>
      <c r="C16" s="11" t="s">
        <v>17</v>
      </c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 t="s">
        <v>18</v>
      </c>
      <c r="B18" s="10" t="s">
        <v>19</v>
      </c>
      <c r="C18" s="9" t="s">
        <v>20</v>
      </c>
    </row>
    <row r="19" customFormat="false" ht="15" hidden="false" customHeight="false" outlineLevel="0" collapsed="false">
      <c r="A19" s="9" t="s">
        <v>21</v>
      </c>
      <c r="B19" s="10" t="s">
        <v>22</v>
      </c>
      <c r="C19" s="9" t="s">
        <v>23</v>
      </c>
    </row>
    <row r="20" customFormat="false" ht="15" hidden="false" customHeight="false" outlineLevel="0" collapsed="false">
      <c r="A20" s="11" t="s">
        <v>24</v>
      </c>
      <c r="B20" s="11" t="e">
        <f aca="false">B16+B17</f>
        <v>#VALUE!</v>
      </c>
      <c r="C20" s="11" t="s">
        <v>25</v>
      </c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 t="s">
        <v>26</v>
      </c>
      <c r="B22" s="9" t="n">
        <f aca="false">B18-B14</f>
        <v>-300000</v>
      </c>
      <c r="C22" s="9" t="s">
        <v>27</v>
      </c>
    </row>
    <row r="23" customFormat="false" ht="15" hidden="false" customHeight="false" outlineLevel="0" collapsed="false">
      <c r="A23" s="12" t="s">
        <v>28</v>
      </c>
      <c r="B23" s="11" t="e">
        <f aca="false">(B20/B14)*100</f>
        <v>#VALUE!</v>
      </c>
      <c r="C23" s="11" t="s">
        <v>29</v>
      </c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 t="s">
        <v>30</v>
      </c>
      <c r="B25" s="9" t="n">
        <f aca="false">B14/B18</f>
        <v>2.5</v>
      </c>
      <c r="C25" s="9" t="s">
        <v>31</v>
      </c>
    </row>
    <row r="27" customFormat="false" ht="17.35" hidden="false" customHeight="false" outlineLevel="0" collapsed="false">
      <c r="A27" s="13" t="s">
        <v>32</v>
      </c>
      <c r="B27" s="13"/>
      <c r="C27" s="13"/>
      <c r="D27" s="13"/>
      <c r="E27" s="13"/>
      <c r="F27" s="13"/>
    </row>
    <row r="28" customFormat="false" ht="15" hidden="false" customHeight="false" outlineLevel="0" collapsed="false">
      <c r="A28" s="8" t="s">
        <v>33</v>
      </c>
      <c r="B28" s="8" t="s">
        <v>34</v>
      </c>
    </row>
    <row r="29" customFormat="false" ht="15" hidden="false" customHeight="false" outlineLevel="0" collapsed="false">
      <c r="A29" s="14" t="s">
        <v>35</v>
      </c>
      <c r="B29" s="9" t="s">
        <v>36</v>
      </c>
    </row>
    <row r="30" customFormat="false" ht="15" hidden="false" customHeight="false" outlineLevel="0" collapsed="false">
      <c r="A30" s="14" t="s">
        <v>37</v>
      </c>
      <c r="B30" s="9" t="s">
        <v>38</v>
      </c>
    </row>
    <row r="31" customFormat="false" ht="15" hidden="false" customHeight="false" outlineLevel="0" collapsed="false">
      <c r="A31" s="14" t="s">
        <v>39</v>
      </c>
      <c r="B31" s="9" t="s">
        <v>40</v>
      </c>
    </row>
    <row r="32" customFormat="false" ht="15" hidden="false" customHeight="false" outlineLevel="0" collapsed="false">
      <c r="A32" s="14" t="s">
        <v>41</v>
      </c>
      <c r="B32" s="9" t="s">
        <v>42</v>
      </c>
    </row>
    <row r="33" customFormat="false" ht="15" hidden="false" customHeight="false" outlineLevel="0" collapsed="false">
      <c r="A33" s="14" t="s">
        <v>43</v>
      </c>
      <c r="B33" s="9" t="s">
        <v>44</v>
      </c>
    </row>
  </sheetData>
  <mergeCells count="8">
    <mergeCell ref="A1:F1"/>
    <mergeCell ref="A3:F3"/>
    <mergeCell ref="A4:F6"/>
    <mergeCell ref="A8:F8"/>
    <mergeCell ref="B9:E9"/>
    <mergeCell ref="B10:E10"/>
    <mergeCell ref="A12:F12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5" t="s">
        <v>45</v>
      </c>
      <c r="B1" s="15"/>
      <c r="C1" s="15"/>
      <c r="D1" s="15"/>
    </row>
    <row r="3" customFormat="false" ht="14.15" hidden="false" customHeight="false" outlineLevel="0" collapsed="false">
      <c r="A3" s="16" t="s">
        <v>46</v>
      </c>
      <c r="B3" s="16"/>
      <c r="C3" s="16"/>
      <c r="D3" s="16"/>
    </row>
    <row r="4" customFormat="false" ht="15" hidden="false" customHeight="false" outlineLevel="0" collapsed="false">
      <c r="A4" s="9" t="s">
        <v>47</v>
      </c>
      <c r="B4" s="17" t="n">
        <v>0</v>
      </c>
    </row>
    <row r="5" customFormat="false" ht="15" hidden="false" customHeight="false" outlineLevel="0" collapsed="false">
      <c r="A5" s="9" t="s">
        <v>48</v>
      </c>
      <c r="B5" s="17" t="n">
        <v>0</v>
      </c>
    </row>
    <row r="6" customFormat="false" ht="15" hidden="false" customHeight="false" outlineLevel="0" collapsed="false">
      <c r="A6" s="9" t="s">
        <v>49</v>
      </c>
      <c r="B6" s="17" t="n">
        <v>0</v>
      </c>
    </row>
    <row r="7" customFormat="false" ht="15" hidden="false" customHeight="false" outlineLevel="0" collapsed="false">
      <c r="A7" s="9" t="s">
        <v>50</v>
      </c>
      <c r="B7" s="17" t="n">
        <v>0</v>
      </c>
    </row>
    <row r="8" customFormat="false" ht="15" hidden="false" customHeight="false" outlineLevel="0" collapsed="false">
      <c r="A8" s="18" t="s">
        <v>51</v>
      </c>
      <c r="B8" s="19" t="n">
        <f aca="false">SUM(B4:B7)</f>
        <v>0</v>
      </c>
    </row>
    <row r="10" customFormat="false" ht="15" hidden="false" customHeight="false" outlineLevel="0" collapsed="false">
      <c r="A10" s="20" t="s">
        <v>52</v>
      </c>
      <c r="B10" s="20"/>
      <c r="C10" s="20"/>
      <c r="D10" s="20"/>
    </row>
    <row r="11" customFormat="false" ht="15" hidden="false" customHeight="false" outlineLevel="0" collapsed="false">
      <c r="A11" s="9" t="s">
        <v>53</v>
      </c>
      <c r="B11" s="17" t="n">
        <v>0</v>
      </c>
    </row>
    <row r="12" customFormat="false" ht="15" hidden="false" customHeight="false" outlineLevel="0" collapsed="false">
      <c r="A12" s="9" t="s">
        <v>54</v>
      </c>
      <c r="B12" s="17" t="n">
        <v>0</v>
      </c>
    </row>
    <row r="13" customFormat="false" ht="15" hidden="false" customHeight="false" outlineLevel="0" collapsed="false">
      <c r="A13" s="9" t="s">
        <v>55</v>
      </c>
      <c r="B13" s="17" t="n">
        <v>0</v>
      </c>
    </row>
    <row r="14" customFormat="false" ht="15" hidden="false" customHeight="false" outlineLevel="0" collapsed="false">
      <c r="A14" s="9" t="s">
        <v>56</v>
      </c>
      <c r="B14" s="17" t="n">
        <v>0</v>
      </c>
    </row>
    <row r="15" customFormat="false" ht="15" hidden="false" customHeight="false" outlineLevel="0" collapsed="false">
      <c r="A15" s="18" t="s">
        <v>57</v>
      </c>
      <c r="B15" s="21" t="n">
        <f aca="false">SUM(B11:B14)</f>
        <v>0</v>
      </c>
    </row>
    <row r="17" customFormat="false" ht="15" hidden="false" customHeight="false" outlineLevel="0" collapsed="false">
      <c r="A17" s="22" t="s">
        <v>58</v>
      </c>
      <c r="B17" s="22"/>
      <c r="C17" s="22"/>
      <c r="D17" s="22"/>
    </row>
    <row r="18" customFormat="false" ht="15" hidden="false" customHeight="false" outlineLevel="0" collapsed="false">
      <c r="A18" s="18" t="s">
        <v>26</v>
      </c>
      <c r="B18" s="23" t="n">
        <f aca="false">B14-B8</f>
        <v>0</v>
      </c>
    </row>
    <row r="19" customFormat="false" ht="17.35" hidden="false" customHeight="false" outlineLevel="0" collapsed="false">
      <c r="A19" s="18" t="s">
        <v>59</v>
      </c>
      <c r="B19" s="24" t="n">
        <f aca="false">IF(B8=0,0,(B18/B8)*100)</f>
        <v>0</v>
      </c>
    </row>
    <row r="20" customFormat="false" ht="15" hidden="false" customHeight="false" outlineLevel="0" collapsed="false">
      <c r="A20" s="18" t="s">
        <v>60</v>
      </c>
      <c r="B20" s="25" t="n">
        <f aca="false">IF(B14=0,0,B8/B14)</f>
        <v>0</v>
      </c>
    </row>
    <row r="21" customFormat="false" ht="15" hidden="false" customHeight="false" outlineLevel="0" collapsed="false">
      <c r="A21" s="18" t="s">
        <v>61</v>
      </c>
      <c r="B21" s="26" t="str">
        <f aca="false">IF(B19&lt;0,"خسارة",IF(B19&lt;15,"ضعيف",IF(B19&lt;30,"جيد",IF(B19&lt;50,"جيد جداً","ممتاز"))))</f>
        <v>ضعيف</v>
      </c>
    </row>
  </sheetData>
  <mergeCells count="4">
    <mergeCell ref="A1:D1"/>
    <mergeCell ref="A3:D3"/>
    <mergeCell ref="A10:D10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5" t="s">
        <v>62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27" t="s">
        <v>63</v>
      </c>
      <c r="B2" s="27" t="s">
        <v>64</v>
      </c>
      <c r="C2" s="27" t="s">
        <v>65</v>
      </c>
      <c r="D2" s="27" t="s">
        <v>66</v>
      </c>
      <c r="E2" s="27" t="s">
        <v>28</v>
      </c>
      <c r="F2" s="27" t="s">
        <v>67</v>
      </c>
      <c r="G2" s="27" t="s">
        <v>61</v>
      </c>
      <c r="H2" s="27" t="s">
        <v>68</v>
      </c>
    </row>
    <row r="3" customFormat="false" ht="15" hidden="false" customHeight="false" outlineLevel="0" collapsed="false">
      <c r="A3" s="28" t="s">
        <v>69</v>
      </c>
      <c r="B3" s="18"/>
      <c r="C3" s="18"/>
      <c r="D3" s="18" t="n">
        <f aca="false">C3-B3</f>
        <v>0</v>
      </c>
      <c r="E3" s="29" t="n">
        <f aca="false">IF(B3=0,0,(D3/B3)*100)</f>
        <v>0</v>
      </c>
      <c r="F3" s="30" t="n">
        <f aca="false">IF(C3=0,0,B3/C3)</f>
        <v>0</v>
      </c>
      <c r="G3" s="18" t="str">
        <f aca="false">IF(E3&lt;0,"خسارة",IF(E3&lt;15,"ضعيف",IF(E3&lt;30,"جيد",IF(E3&lt;50,"جيد جداً","ممتاز"))))</f>
        <v>ضعيف</v>
      </c>
      <c r="H3" s="18"/>
    </row>
    <row r="4" customFormat="false" ht="15" hidden="false" customHeight="false" outlineLevel="0" collapsed="false">
      <c r="A4" s="28" t="s">
        <v>70</v>
      </c>
      <c r="B4" s="18"/>
      <c r="C4" s="18"/>
      <c r="D4" s="18" t="n">
        <f aca="false">C4-B4</f>
        <v>0</v>
      </c>
      <c r="E4" s="29" t="n">
        <f aca="false">IF(B4=0,0,(D4/B4)*100)</f>
        <v>0</v>
      </c>
      <c r="F4" s="30" t="n">
        <f aca="false">IF(C4=0,0,B4/C4)</f>
        <v>0</v>
      </c>
      <c r="G4" s="18" t="str">
        <f aca="false">IF(E4&lt;0,"خسارة",IF(E4&lt;15,"ضعيف",IF(E4&lt;30,"جيد",IF(E4&lt;50,"جيد جداً","ممتاز"))))</f>
        <v>ضعيف</v>
      </c>
      <c r="H4" s="18"/>
    </row>
    <row r="5" customFormat="false" ht="15" hidden="false" customHeight="false" outlineLevel="0" collapsed="false">
      <c r="A5" s="28" t="s">
        <v>71</v>
      </c>
      <c r="B5" s="18"/>
      <c r="C5" s="18"/>
      <c r="D5" s="18" t="n">
        <f aca="false">C5-B5</f>
        <v>0</v>
      </c>
      <c r="E5" s="29" t="n">
        <f aca="false">IF(B5=0,0,(D5/B5)*100)</f>
        <v>0</v>
      </c>
      <c r="F5" s="30" t="n">
        <f aca="false">IF(C5=0,0,B5/C5)</f>
        <v>0</v>
      </c>
      <c r="G5" s="18" t="str">
        <f aca="false">IF(E5&lt;0,"خسارة",IF(E5&lt;15,"ضعيف",IF(E5&lt;30,"جيد",IF(E5&lt;50,"جيد جداً","ممتاز"))))</f>
        <v>ضعيف</v>
      </c>
      <c r="H5" s="18"/>
    </row>
    <row r="6" customFormat="false" ht="15" hidden="false" customHeight="false" outlineLevel="0" collapsed="false">
      <c r="A6" s="28" t="s">
        <v>72</v>
      </c>
      <c r="B6" s="18"/>
      <c r="C6" s="18"/>
      <c r="D6" s="18" t="n">
        <f aca="false">C6-B6</f>
        <v>0</v>
      </c>
      <c r="E6" s="29" t="n">
        <f aca="false">IF(B6=0,0,(D6/B6)*100)</f>
        <v>0</v>
      </c>
      <c r="F6" s="30" t="n">
        <f aca="false">IF(C6=0,0,B6/C6)</f>
        <v>0</v>
      </c>
      <c r="G6" s="18" t="str">
        <f aca="false">IF(E6&lt;0,"خسارة",IF(E6&lt;15,"ضعيف",IF(E6&lt;30,"جيد",IF(E6&lt;50,"جيد جداً","ممتاز"))))</f>
        <v>ضعيف</v>
      </c>
      <c r="H6" s="1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2026-01-31T11:43:12Z</dcterms:created>
  <dc:creator>openpyxl</dc:creator>
  <dc:description/>
  <dc:language>en-US</dc:language>
  <cp:lastModifiedBy/>
  <dcterms:modified xsi:type="dcterms:W3CDTF">2026-01-31T11:43:12Z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